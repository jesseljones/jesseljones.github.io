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es\Desktop\File Cabinet\School\VBA Excel\"/>
    </mc:Choice>
  </mc:AlternateContent>
  <xr:revisionPtr revIDLastSave="0" documentId="13_ncr:1_{278AC6BD-EB86-45F3-9388-07842EE565C1}" xr6:coauthVersionLast="46" xr6:coauthVersionMax="46" xr10:uidLastSave="{00000000-0000-0000-0000-000000000000}"/>
  <bookViews>
    <workbookView xWindow="-25320" yWindow="-120" windowWidth="25440" windowHeight="15390" tabRatio="770" activeTab="1" xr2:uid="{00000000-000D-0000-FFFF-FFFF00000000}"/>
  </bookViews>
  <sheets>
    <sheet name="GetStarted" sheetId="7" r:id="rId1"/>
    <sheet name="Meal_Planner" sheetId="2" r:id="rId2"/>
    <sheet name="ShoppingList" sheetId="13" r:id="rId3"/>
    <sheet name="Meal_Counter" sheetId="3" r:id="rId4"/>
    <sheet name="MealPlannerPrice" sheetId="10" r:id="rId5"/>
    <sheet name="GroceryListCalculator" sheetId="11" r:id="rId6"/>
    <sheet name="PivotTable" sheetId="6" r:id="rId7"/>
    <sheet name="PriceSheet" sheetId="9" r:id="rId8"/>
  </sheets>
  <definedNames>
    <definedName name="_xlnm._FilterDatabase" localSheetId="6" hidden="1">ShoppingList!$H$1:$J$45</definedName>
    <definedName name="Apples">Meal_Counter!$C$4</definedName>
    <definedName name="Aspargus">Meal_Counter!$C$47</definedName>
    <definedName name="Bacon">Meal_Counter!$C$15</definedName>
    <definedName name="BakedPOtCost">MealPlannerPrice!$G$88</definedName>
    <definedName name="Banana">Meal_Counter!$C$5</definedName>
    <definedName name="BeefTaco">Meal_Counter!$C$32</definedName>
    <definedName name="BeefTacoCost">MealPlannerPrice!$G$60</definedName>
    <definedName name="Biscuit">Meal_Counter!$C$16</definedName>
    <definedName name="BoxMac">Meal_Counter!$C$27</definedName>
    <definedName name="BoxMacCost">MealPlannerPrice!$G$40</definedName>
    <definedName name="Bread">Meal_Counter!$C$10</definedName>
    <definedName name="Breakfast">Meal_Counter!$B$9:$B$21</definedName>
    <definedName name="Broccolli">Meal_Counter!$C$48</definedName>
    <definedName name="Burger">Meal_Counter!$C$28</definedName>
    <definedName name="BurgerCost">MealPlannerPrice!$G$43</definedName>
    <definedName name="Carrots">Meal_Counter!$C$51</definedName>
    <definedName name="Cereal">Meal_Counter!$C$20</definedName>
    <definedName name="CerealBar">Meal_Counter!$C$12</definedName>
    <definedName name="Chicken">Meal_Counter!$C$41</definedName>
    <definedName name="ChicTaco">Meal_Counter!$C$31</definedName>
    <definedName name="ChicTacoCost">MealPlannerPrice!$G$54</definedName>
    <definedName name="ChicWings">Meal_Counter!$C$44</definedName>
    <definedName name="Chips">Meal_Counter!$C$3</definedName>
    <definedName name="Cod">Meal_Counter!$C$36</definedName>
    <definedName name="Coffee">Meal_Counter!$C$13</definedName>
    <definedName name="Cookie">Meal_Counter!$C$55</definedName>
    <definedName name="Corn">Meal_Counter!$C$53</definedName>
    <definedName name="CupCake">Meal_Counter!$C$57</definedName>
    <definedName name="DailyBudget">Meal_Planner!$C$24,Meal_Planner!$E$24,Meal_Planner!$G$24,Meal_Planner!$I$24,Meal_Planner!$K$24,Meal_Planner!$M$24,Meal_Planner!$O$24</definedName>
    <definedName name="DailyBudget1">Meal_Planner!$C$24</definedName>
    <definedName name="Desserts">Meal_Counter!$B$55:$B$58</definedName>
    <definedName name="Egg">Meal_Counter!$C$14</definedName>
    <definedName name="FetAlfredo">Meal_Counter!$C$34</definedName>
    <definedName name="FettAlfCost">MealPlannerPrice!$G$70</definedName>
    <definedName name="FrenchFries">Meal_Counter!$C$49</definedName>
    <definedName name="FruitSnack">Meal_Counter!$C$2</definedName>
    <definedName name="Graham">Meal_Counter!$C$8</definedName>
    <definedName name="Granola">Meal_Counter!$C$21</definedName>
    <definedName name="gravy">Meal_Counter!$C$17</definedName>
    <definedName name="GrillCheese">Meal_Counter!$C$26</definedName>
    <definedName name="GrilledCheeseCost">MealPlannerPrice!$G$37</definedName>
    <definedName name="GroceryList">ShoppingList!$B$1:$J$45</definedName>
    <definedName name="GroundBeef">Meal_Counter!$C$37</definedName>
    <definedName name="HomeMac">Meal_Counter!$C$46</definedName>
    <definedName name="HomeMacCost">MealPlannerPrice!$G$92</definedName>
    <definedName name="HotDog">Meal_Counter!$C$24</definedName>
    <definedName name="HotDogsCost">MealPlannerPrice!$G$32</definedName>
    <definedName name="HouseSalad">Meal_Counter!$C$43</definedName>
    <definedName name="IceCream">Meal_Counter!$C$56</definedName>
    <definedName name="ItemPortionPrice">#REF!</definedName>
    <definedName name="LoadedPot">Meal_Counter!$C$45</definedName>
    <definedName name="Lunch">Meal_Counter!$B$22:$B$27</definedName>
    <definedName name="Lunchable">Meal_Counter!#REF!</definedName>
    <definedName name="Main">Meal_Counter!$B$28:$B$42</definedName>
    <definedName name="MealPlan">Meal_Planner!$B$2:$N$21</definedName>
    <definedName name="MealPlannerPrice">MealPlannerPrice!$F$2:$F$107</definedName>
    <definedName name="Meats">Meal_Counter!$B$35:$B$42</definedName>
    <definedName name="NumberOfPeople">GroceryListCalculator!$D$2:$D$107</definedName>
    <definedName name="NutriBars">Meal_Counter!$C$7</definedName>
    <definedName name="NYStrip">Meal_Counter!$C$38</definedName>
    <definedName name="Oranges">Meal_Counter!$C$6</definedName>
    <definedName name="Pancake">Meal_Counter!$C$18</definedName>
    <definedName name="PBandJ">Meal_Counter!$C$22</definedName>
    <definedName name="PBandJCost">MealPlannerPrice!$G$22</definedName>
    <definedName name="PestoTort">Meal_Counter!$C$30</definedName>
    <definedName name="PestoTortCost">MealPlannerPrice!$G$51</definedName>
    <definedName name="Pizza">Meal_Counter!$C$29</definedName>
    <definedName name="popsicle">Meal_Counter!$C$58</definedName>
    <definedName name="PopTart">Meal_Counter!$C$11</definedName>
    <definedName name="PorkChop">Meal_Counter!$C$40</definedName>
    <definedName name="PortionSize">MealPlannerPrice!$E$2:$E$107</definedName>
    <definedName name="PotWedge">Meal_Counter!$C$52</definedName>
    <definedName name="Ribeye">Meal_Counter!$C$42</definedName>
    <definedName name="Rice">Meal_Counter!$C$50</definedName>
    <definedName name="SaladCost">MealPlannerPrice!$G$80</definedName>
    <definedName name="Salmon">Meal_Counter!$C$35</definedName>
    <definedName name="Shrimp">Meal_Counter!$C$39</definedName>
    <definedName name="Sides">Meal_Counter!$B$43:$B$54</definedName>
    <definedName name="Snacks">Meal_Counter!$B$2:$B$8</definedName>
    <definedName name="Soup">Meal_Counter!$C$25</definedName>
    <definedName name="SoupCost">MealPlannerPrice!$G$35</definedName>
    <definedName name="SpagandMeatSauce">Meal_Counter!$C$33</definedName>
    <definedName name="SpaghettiCost">MealPlannerPrice!$G$66</definedName>
    <definedName name="SweetPot">Meal_Counter!$C$54</definedName>
    <definedName name="Toast">Meal_Counter!$C$10</definedName>
    <definedName name="TurkeySand">Meal_Counter!$C$23</definedName>
    <definedName name="TurkeySandwichCost">MealPlannerPrice!$G$25</definedName>
    <definedName name="Waffle">Meal_Counter!$C$19</definedName>
    <definedName name="WingsCost">MealPlannerPrice!$G$85</definedName>
    <definedName name="Yogurt">Meal_Counter!$C$9</definedName>
    <definedName name="Z_45A1D012_B874_4DD8_9662_AFBB0284400B_.wvu.Cols" localSheetId="6" hidden="1">PivotTable!$B:$C</definedName>
    <definedName name="Z_45A1D012_B874_4DD8_9662_AFBB0284400B_.wvu.FilterData" localSheetId="3" hidden="1">Meal_Counter!#REF!</definedName>
    <definedName name="Z_45A1D012_B874_4DD8_9662_AFBB0284400B_.wvu.FilterData" localSheetId="6" hidden="1">ShoppingList!$H$1:$J$45</definedName>
  </definedNames>
  <calcPr calcId="191029"/>
  <customWorkbookViews>
    <customWorkbookView name="PrintPlanandList" guid="{45A1D012-B874-4DD8-9662-AFBB0284400B}" maximized="1" xWindow="-1688" yWindow="-8" windowWidth="1696" windowHeight="1026" activeSheetId="6"/>
  </customWorkbookViews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2" l="1"/>
  <c r="C9" i="2"/>
  <c r="C10" i="2"/>
  <c r="C11" i="2"/>
  <c r="C13" i="2"/>
  <c r="C15" i="2"/>
  <c r="C16" i="2"/>
  <c r="C17" i="2"/>
  <c r="C19" i="2"/>
  <c r="C20" i="2"/>
  <c r="C21" i="2"/>
  <c r="C6" i="2"/>
  <c r="K38" i="13"/>
  <c r="G107" i="11"/>
  <c r="G106" i="11"/>
  <c r="G105" i="11"/>
  <c r="G104" i="11"/>
  <c r="G103" i="11"/>
  <c r="D103" i="10" s="1"/>
  <c r="F103" i="10" s="1"/>
  <c r="G102" i="11"/>
  <c r="D102" i="10" s="1"/>
  <c r="F102" i="10" s="1"/>
  <c r="G101" i="11"/>
  <c r="G100" i="11"/>
  <c r="G99" i="11"/>
  <c r="G98" i="11"/>
  <c r="G97" i="11"/>
  <c r="G96" i="11"/>
  <c r="D96" i="10" s="1"/>
  <c r="F96" i="10" s="1"/>
  <c r="G95" i="11"/>
  <c r="G94" i="11"/>
  <c r="G93" i="11"/>
  <c r="D93" i="10" s="1"/>
  <c r="F93" i="10" s="1"/>
  <c r="G92" i="11"/>
  <c r="G91" i="11"/>
  <c r="G90" i="11"/>
  <c r="G89" i="11"/>
  <c r="G88" i="11"/>
  <c r="G87" i="11"/>
  <c r="G86" i="11"/>
  <c r="G85" i="11"/>
  <c r="G84" i="11"/>
  <c r="G83" i="11"/>
  <c r="G82" i="11"/>
  <c r="G81" i="11"/>
  <c r="G80" i="11"/>
  <c r="G79" i="11"/>
  <c r="G78" i="11"/>
  <c r="G77" i="11"/>
  <c r="D77" i="10" s="1"/>
  <c r="F77" i="10" s="1"/>
  <c r="G76" i="11"/>
  <c r="G75" i="11"/>
  <c r="G74" i="11"/>
  <c r="G73" i="11"/>
  <c r="G72" i="11"/>
  <c r="G71" i="11"/>
  <c r="G70" i="11"/>
  <c r="G69" i="11"/>
  <c r="G68" i="11"/>
  <c r="G67" i="11"/>
  <c r="G66" i="11"/>
  <c r="G65" i="11"/>
  <c r="G64" i="11"/>
  <c r="G63" i="11"/>
  <c r="G62" i="11"/>
  <c r="G61" i="11"/>
  <c r="G60" i="11"/>
  <c r="G59" i="11"/>
  <c r="G58" i="11"/>
  <c r="G57" i="11"/>
  <c r="G56" i="11"/>
  <c r="G55" i="11"/>
  <c r="D55" i="10" s="1"/>
  <c r="F55" i="10" s="1"/>
  <c r="G54" i="11"/>
  <c r="G53" i="11"/>
  <c r="G52" i="11"/>
  <c r="G51" i="11"/>
  <c r="G50" i="11"/>
  <c r="G49" i="11"/>
  <c r="G48" i="11"/>
  <c r="G47" i="11"/>
  <c r="G46" i="11"/>
  <c r="G45" i="11"/>
  <c r="G44" i="11"/>
  <c r="G43" i="11"/>
  <c r="G42" i="11"/>
  <c r="G41" i="11"/>
  <c r="G40" i="11"/>
  <c r="D40" i="10" s="1"/>
  <c r="F40" i="10" s="1"/>
  <c r="G39" i="11"/>
  <c r="G38" i="11"/>
  <c r="G37" i="11"/>
  <c r="G36" i="11"/>
  <c r="G35" i="11"/>
  <c r="G34" i="11"/>
  <c r="G33" i="11"/>
  <c r="D33" i="10" s="1"/>
  <c r="F33" i="10" s="1"/>
  <c r="G32" i="11"/>
  <c r="D32" i="10" s="1"/>
  <c r="F32" i="10" s="1"/>
  <c r="G31" i="11"/>
  <c r="G30" i="11"/>
  <c r="G29" i="11"/>
  <c r="G28" i="11"/>
  <c r="G27" i="11"/>
  <c r="D44" i="10" s="1"/>
  <c r="F44" i="10" s="1"/>
  <c r="G26" i="11"/>
  <c r="G25" i="11"/>
  <c r="G24" i="11"/>
  <c r="G23" i="11"/>
  <c r="G22" i="11"/>
  <c r="G21" i="11"/>
  <c r="D21" i="10" s="1"/>
  <c r="F21" i="10" s="1"/>
  <c r="G20" i="11"/>
  <c r="G19" i="11"/>
  <c r="G18" i="11"/>
  <c r="G17" i="11"/>
  <c r="D17" i="10" s="1"/>
  <c r="F17" i="10" s="1"/>
  <c r="G16" i="11"/>
  <c r="G15" i="11"/>
  <c r="G14" i="11"/>
  <c r="G13" i="11"/>
  <c r="G12" i="11"/>
  <c r="G11" i="11"/>
  <c r="G10" i="11"/>
  <c r="G9" i="11"/>
  <c r="D9" i="10" s="1"/>
  <c r="F9" i="10" s="1"/>
  <c r="G8" i="11"/>
  <c r="G7" i="11"/>
  <c r="G6" i="11"/>
  <c r="G5" i="11"/>
  <c r="D5" i="10" s="1"/>
  <c r="F5" i="10" s="1"/>
  <c r="G4" i="11"/>
  <c r="G3" i="11"/>
  <c r="G2" i="11"/>
  <c r="D50" i="10"/>
  <c r="F50" i="10" s="1"/>
  <c r="D54" i="10"/>
  <c r="F54" i="10" s="1"/>
  <c r="D66" i="10"/>
  <c r="F66" i="10" s="1"/>
  <c r="D72" i="10"/>
  <c r="F72" i="10" s="1"/>
  <c r="D78" i="10"/>
  <c r="F78" i="10" s="1"/>
  <c r="D79" i="10"/>
  <c r="F79" i="10" s="1"/>
  <c r="D83" i="10"/>
  <c r="F83" i="10" s="1"/>
  <c r="D85" i="10"/>
  <c r="F85" i="10" s="1"/>
  <c r="D86" i="10"/>
  <c r="F86" i="10" s="1"/>
  <c r="D87" i="10"/>
  <c r="F87" i="10" s="1"/>
  <c r="D92" i="10"/>
  <c r="F92" i="10" s="1"/>
  <c r="D97" i="10"/>
  <c r="F97" i="10" s="1"/>
  <c r="D100" i="10"/>
  <c r="F100" i="10" s="1"/>
  <c r="D106" i="10"/>
  <c r="F106" i="10" s="1"/>
  <c r="D13" i="10"/>
  <c r="F13" i="10" s="1"/>
  <c r="D3" i="10"/>
  <c r="F3" i="10" s="1"/>
  <c r="D4" i="10"/>
  <c r="F4" i="10" s="1"/>
  <c r="D6" i="10"/>
  <c r="F6" i="10" s="1"/>
  <c r="D7" i="10"/>
  <c r="F7" i="10" s="1"/>
  <c r="D8" i="10"/>
  <c r="F8" i="10" s="1"/>
  <c r="D37" i="10"/>
  <c r="F37" i="10" s="1"/>
  <c r="D11" i="10"/>
  <c r="F11" i="10" s="1"/>
  <c r="D12" i="10"/>
  <c r="F12" i="10" s="1"/>
  <c r="D14" i="10"/>
  <c r="F14" i="10" s="1"/>
  <c r="D15" i="10"/>
  <c r="F15" i="10" s="1"/>
  <c r="D16" i="10"/>
  <c r="F16" i="10" s="1"/>
  <c r="D18" i="10"/>
  <c r="F18" i="10" s="1"/>
  <c r="D19" i="10"/>
  <c r="F19" i="10" s="1"/>
  <c r="D20" i="10"/>
  <c r="F20" i="10" s="1"/>
  <c r="D22" i="10"/>
  <c r="F22" i="10" s="1"/>
  <c r="D23" i="10"/>
  <c r="F23" i="10" s="1"/>
  <c r="D25" i="10"/>
  <c r="F25" i="10" s="1"/>
  <c r="D57" i="10"/>
  <c r="F57" i="10" s="1"/>
  <c r="D81" i="10"/>
  <c r="F81" i="10" s="1"/>
  <c r="D48" i="10"/>
  <c r="F48" i="10" s="1"/>
  <c r="D34" i="10"/>
  <c r="F34" i="10" s="1"/>
  <c r="D35" i="10"/>
  <c r="F35" i="10" s="1"/>
  <c r="D36" i="10"/>
  <c r="F36" i="10" s="1"/>
  <c r="D39" i="10"/>
  <c r="F39" i="10" s="1"/>
  <c r="D41" i="10"/>
  <c r="F41" i="10" s="1"/>
  <c r="D67" i="10"/>
  <c r="F67" i="10" s="1"/>
  <c r="D45" i="10"/>
  <c r="F45" i="10" s="1"/>
  <c r="D49" i="10"/>
  <c r="F49" i="10" s="1"/>
  <c r="D51" i="10"/>
  <c r="F51" i="10" s="1"/>
  <c r="D52" i="10"/>
  <c r="F52" i="10" s="1"/>
  <c r="D53" i="10"/>
  <c r="F53" i="10" s="1"/>
  <c r="D64" i="10"/>
  <c r="F64" i="10" s="1"/>
  <c r="D59" i="10"/>
  <c r="F59" i="10" s="1"/>
  <c r="D68" i="10"/>
  <c r="F68" i="10" s="1"/>
  <c r="D70" i="10"/>
  <c r="F70" i="10" s="1"/>
  <c r="D71" i="10"/>
  <c r="F71" i="10" s="1"/>
  <c r="D73" i="10"/>
  <c r="F73" i="10" s="1"/>
  <c r="D75" i="10"/>
  <c r="F75" i="10" s="1"/>
  <c r="D76" i="10"/>
  <c r="F76" i="10" s="1"/>
  <c r="D82" i="10"/>
  <c r="F82" i="10" s="1"/>
  <c r="D84" i="10"/>
  <c r="F84" i="10" s="1"/>
  <c r="D101" i="10"/>
  <c r="F101" i="10" s="1"/>
  <c r="D89" i="10"/>
  <c r="F89" i="10" s="1"/>
  <c r="D90" i="10"/>
  <c r="F90" i="10" s="1"/>
  <c r="D95" i="10"/>
  <c r="F95" i="10" s="1"/>
  <c r="D98" i="10"/>
  <c r="F98" i="10" s="1"/>
  <c r="D99" i="10"/>
  <c r="F99" i="10" s="1"/>
  <c r="D104" i="10"/>
  <c r="F104" i="10" s="1"/>
  <c r="D105" i="10"/>
  <c r="F105" i="10" s="1"/>
  <c r="D107" i="10"/>
  <c r="F107" i="10" s="1"/>
  <c r="D2" i="10"/>
  <c r="F2" i="10" s="1"/>
  <c r="C81" i="9"/>
  <c r="D61" i="9"/>
  <c r="D6" i="9"/>
  <c r="C39" i="13"/>
  <c r="C45" i="13"/>
  <c r="C43" i="13"/>
  <c r="C40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C3" i="13"/>
  <c r="C2" i="13"/>
  <c r="C44" i="13"/>
  <c r="I30" i="13"/>
  <c r="I27" i="13"/>
  <c r="I25" i="13"/>
  <c r="I23" i="13"/>
  <c r="I21" i="13"/>
  <c r="I19" i="13"/>
  <c r="I17" i="13"/>
  <c r="I15" i="13"/>
  <c r="I13" i="13"/>
  <c r="I11" i="13"/>
  <c r="I9" i="13"/>
  <c r="I7" i="13"/>
  <c r="I5" i="13"/>
  <c r="I3" i="13"/>
  <c r="C41" i="13"/>
  <c r="C42" i="13"/>
  <c r="C38" i="13"/>
  <c r="I36" i="13"/>
  <c r="I35" i="13"/>
  <c r="I34" i="13"/>
  <c r="I33" i="13"/>
  <c r="I32" i="13"/>
  <c r="I31" i="13"/>
  <c r="I29" i="13"/>
  <c r="I28" i="13"/>
  <c r="I26" i="13"/>
  <c r="I24" i="13"/>
  <c r="I22" i="13"/>
  <c r="I20" i="13"/>
  <c r="I18" i="13"/>
  <c r="I16" i="13"/>
  <c r="I14" i="13"/>
  <c r="I12" i="13"/>
  <c r="I10" i="13"/>
  <c r="I8" i="13"/>
  <c r="I6" i="13"/>
  <c r="I4" i="13"/>
  <c r="I2" i="13"/>
  <c r="K2" i="13" l="1"/>
  <c r="K4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29" i="13"/>
  <c r="K31" i="13"/>
  <c r="K32" i="13"/>
  <c r="K33" i="13"/>
  <c r="K34" i="13"/>
  <c r="K35" i="13"/>
  <c r="K36" i="13"/>
  <c r="E38" i="13"/>
  <c r="E42" i="13"/>
  <c r="E41" i="13"/>
  <c r="K3" i="13"/>
  <c r="K5" i="13"/>
  <c r="K7" i="13"/>
  <c r="K9" i="13"/>
  <c r="K11" i="13"/>
  <c r="K13" i="13"/>
  <c r="K15" i="13"/>
  <c r="K17" i="13"/>
  <c r="K19" i="13"/>
  <c r="K21" i="13"/>
  <c r="K23" i="13"/>
  <c r="K25" i="13"/>
  <c r="K27" i="13"/>
  <c r="K30" i="13"/>
  <c r="E44" i="13"/>
  <c r="E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40" i="13"/>
  <c r="E43" i="13"/>
  <c r="E45" i="13"/>
  <c r="E39" i="13"/>
  <c r="D27" i="10"/>
  <c r="F27" i="10" s="1"/>
  <c r="G51" i="10"/>
  <c r="G35" i="10"/>
  <c r="D29" i="10"/>
  <c r="F29" i="10" s="1"/>
  <c r="D31" i="10"/>
  <c r="F31" i="10" s="1"/>
  <c r="G85" i="10"/>
  <c r="G32" i="10"/>
  <c r="G70" i="10"/>
  <c r="D10" i="10"/>
  <c r="F10" i="10" s="1"/>
  <c r="D43" i="10"/>
  <c r="F43" i="10" s="1"/>
  <c r="D61" i="10"/>
  <c r="F61" i="10" s="1"/>
  <c r="D63" i="10"/>
  <c r="F63" i="10" s="1"/>
  <c r="D65" i="10"/>
  <c r="F65" i="10" s="1"/>
  <c r="D74" i="10"/>
  <c r="F74" i="10" s="1"/>
  <c r="D80" i="10"/>
  <c r="F80" i="10" s="1"/>
  <c r="G80" i="10" s="1"/>
  <c r="D94" i="10"/>
  <c r="F94" i="10" s="1"/>
  <c r="G92" i="10" s="1"/>
  <c r="D24" i="10"/>
  <c r="F24" i="10" s="1"/>
  <c r="G22" i="10" s="1"/>
  <c r="D38" i="10"/>
  <c r="F38" i="10" s="1"/>
  <c r="G37" i="10" s="1"/>
  <c r="D47" i="10"/>
  <c r="F47" i="10" s="1"/>
  <c r="D56" i="10"/>
  <c r="F56" i="10" s="1"/>
  <c r="D58" i="10"/>
  <c r="F58" i="10" s="1"/>
  <c r="D60" i="10"/>
  <c r="F60" i="10" s="1"/>
  <c r="D69" i="10"/>
  <c r="F69" i="10" s="1"/>
  <c r="G66" i="10" s="1"/>
  <c r="D91" i="10"/>
  <c r="F91" i="10" s="1"/>
  <c r="D26" i="10"/>
  <c r="F26" i="10" s="1"/>
  <c r="D28" i="10"/>
  <c r="F28" i="10" s="1"/>
  <c r="D30" i="10"/>
  <c r="F30" i="10" s="1"/>
  <c r="D42" i="10"/>
  <c r="F42" i="10" s="1"/>
  <c r="G40" i="10" s="1"/>
  <c r="D62" i="10"/>
  <c r="F62" i="10" s="1"/>
  <c r="D88" i="10"/>
  <c r="F88" i="10" s="1"/>
  <c r="D46" i="10"/>
  <c r="F46" i="10" s="1"/>
  <c r="K39" i="13" l="1"/>
  <c r="G54" i="10"/>
  <c r="G88" i="10"/>
  <c r="G25" i="10"/>
  <c r="G60" i="10"/>
  <c r="G43" i="10"/>
  <c r="K40" i="13" l="1"/>
  <c r="K41" i="13" s="1"/>
  <c r="O6" i="2"/>
  <c r="O7" i="2"/>
  <c r="O10" i="2"/>
  <c r="O13" i="2"/>
  <c r="O16" i="2"/>
  <c r="O19" i="2"/>
  <c r="O20" i="2"/>
  <c r="M6" i="2"/>
  <c r="M7" i="2"/>
  <c r="M10" i="2"/>
  <c r="M13" i="2"/>
  <c r="M16" i="2"/>
  <c r="M18" i="2"/>
  <c r="M20" i="2"/>
  <c r="M4" i="2"/>
  <c r="K7" i="2"/>
  <c r="K9" i="2"/>
  <c r="K10" i="2"/>
  <c r="K12" i="2"/>
  <c r="K13" i="2"/>
  <c r="K16" i="2"/>
  <c r="K19" i="2"/>
  <c r="K20" i="2"/>
  <c r="K21" i="2"/>
  <c r="I7" i="2"/>
  <c r="I10" i="2"/>
  <c r="I13" i="2"/>
  <c r="I15" i="2"/>
  <c r="I16" i="2"/>
  <c r="I20" i="2"/>
  <c r="G7" i="2"/>
  <c r="G10" i="2"/>
  <c r="G13" i="2"/>
  <c r="G16" i="2"/>
  <c r="G20" i="2"/>
  <c r="E7" i="2"/>
  <c r="E10" i="2"/>
  <c r="E13" i="2"/>
  <c r="E16" i="2"/>
  <c r="E20" i="2"/>
  <c r="D58" i="3"/>
  <c r="E21" i="2" s="1"/>
  <c r="D3" i="3"/>
  <c r="C12" i="2" s="1"/>
  <c r="D4" i="3"/>
  <c r="G12" i="2" s="1"/>
  <c r="D5" i="3"/>
  <c r="E12" i="2" s="1"/>
  <c r="D6" i="3"/>
  <c r="G11" i="2" s="1"/>
  <c r="D7" i="3"/>
  <c r="I12" i="2" s="1"/>
  <c r="D8" i="3"/>
  <c r="K11" i="2" s="1"/>
  <c r="D9" i="3"/>
  <c r="D10" i="3"/>
  <c r="D11" i="3"/>
  <c r="D12" i="3"/>
  <c r="D13" i="3"/>
  <c r="D14" i="3"/>
  <c r="C4" i="2" s="1"/>
  <c r="D15" i="3"/>
  <c r="G4" i="2" s="1"/>
  <c r="D16" i="3"/>
  <c r="G5" i="2" s="1"/>
  <c r="D17" i="3"/>
  <c r="I4" i="2" s="1"/>
  <c r="D18" i="3"/>
  <c r="I5" i="2" s="1"/>
  <c r="D19" i="3"/>
  <c r="D20" i="3"/>
  <c r="D21" i="3"/>
  <c r="E4" i="2" s="1"/>
  <c r="D29" i="3"/>
  <c r="D35" i="3"/>
  <c r="D36" i="3"/>
  <c r="K15" i="2" s="1"/>
  <c r="D37" i="3"/>
  <c r="D38" i="3"/>
  <c r="D39" i="3"/>
  <c r="M14" i="2" s="1"/>
  <c r="D40" i="3"/>
  <c r="M15" i="2" s="1"/>
  <c r="D41" i="3"/>
  <c r="O15" i="2" s="1"/>
  <c r="D42" i="3"/>
  <c r="D47" i="3"/>
  <c r="D48" i="3"/>
  <c r="E18" i="2" s="1"/>
  <c r="D49" i="3"/>
  <c r="E19" i="2" s="1"/>
  <c r="D50" i="3"/>
  <c r="G17" i="2" s="1"/>
  <c r="D51" i="3"/>
  <c r="G18" i="2" s="1"/>
  <c r="D52" i="3"/>
  <c r="I19" i="2" s="1"/>
  <c r="D53" i="3"/>
  <c r="K17" i="2" s="1"/>
  <c r="D54" i="3"/>
  <c r="I17" i="2" s="1"/>
  <c r="D55" i="3"/>
  <c r="I21" i="2" s="1"/>
  <c r="D56" i="3"/>
  <c r="D57" i="3"/>
  <c r="G21" i="2" s="1"/>
  <c r="D2" i="3"/>
  <c r="O5" i="2" l="1"/>
  <c r="O4" i="2"/>
  <c r="M5" i="2"/>
  <c r="C5" i="2"/>
  <c r="E6" i="2"/>
  <c r="K14" i="2"/>
  <c r="G6" i="2"/>
  <c r="E5" i="2"/>
  <c r="I11" i="2"/>
  <c r="O12" i="2"/>
  <c r="O11" i="2"/>
  <c r="M12" i="2"/>
  <c r="O21" i="2"/>
  <c r="M19" i="2"/>
  <c r="M11" i="2"/>
  <c r="M21" i="2"/>
  <c r="M17" i="2"/>
  <c r="K18" i="2"/>
  <c r="K6" i="2"/>
  <c r="K5" i="2"/>
  <c r="K4" i="2"/>
  <c r="I18" i="2"/>
  <c r="I6" i="2"/>
  <c r="E11" i="2"/>
  <c r="D34" i="3"/>
  <c r="D22" i="3"/>
  <c r="D44" i="3"/>
  <c r="D45" i="3"/>
  <c r="G19" i="2" s="1"/>
  <c r="D30" i="3"/>
  <c r="E14" i="2" s="1"/>
  <c r="D25" i="3"/>
  <c r="D24" i="3"/>
  <c r="D46" i="3"/>
  <c r="E17" i="2" s="1"/>
  <c r="O17" i="2" l="1"/>
  <c r="G8" i="2"/>
  <c r="O9" i="2"/>
  <c r="E9" i="2"/>
  <c r="G9" i="2"/>
  <c r="D32" i="3"/>
  <c r="G15" i="2" s="1"/>
  <c r="D33" i="3"/>
  <c r="I14" i="2" s="1"/>
  <c r="D28" i="3"/>
  <c r="O14" i="2" s="1"/>
  <c r="D27" i="3"/>
  <c r="M8" i="2" s="1"/>
  <c r="D43" i="3"/>
  <c r="C18" i="2" s="1"/>
  <c r="D31" i="3"/>
  <c r="C14" i="2" s="1"/>
  <c r="D26" i="3"/>
  <c r="O8" i="2" s="1"/>
  <c r="D23" i="3"/>
  <c r="C8" i="2" s="1"/>
  <c r="O18" i="2" l="1"/>
  <c r="O23" i="2" s="1"/>
  <c r="O26" i="2" s="1"/>
  <c r="G14" i="2"/>
  <c r="G23" i="2" s="1"/>
  <c r="G26" i="2" s="1"/>
  <c r="E15" i="2"/>
  <c r="M9" i="2"/>
  <c r="M23" i="2" s="1"/>
  <c r="M26" i="2" s="1"/>
  <c r="I9" i="2"/>
  <c r="K8" i="2"/>
  <c r="K23" i="2" s="1"/>
  <c r="K26" i="2" s="1"/>
  <c r="E8" i="2"/>
  <c r="I8" i="2"/>
  <c r="C23" i="2" l="1"/>
  <c r="C26" i="2" s="1"/>
  <c r="I23" i="2"/>
  <c r="I26" i="2" s="1"/>
  <c r="C19" i="3"/>
  <c r="B19" i="11" s="1"/>
  <c r="C19" i="11" s="1"/>
  <c r="E19" i="11" s="1"/>
  <c r="F19" i="11" s="1"/>
  <c r="H19" i="11" s="1"/>
  <c r="C56" i="3"/>
  <c r="B105" i="11" s="1"/>
  <c r="C105" i="11" s="1"/>
  <c r="E105" i="11" s="1"/>
  <c r="F105" i="11" s="1"/>
  <c r="H105" i="11" s="1"/>
  <c r="C30" i="3"/>
  <c r="C12" i="3"/>
  <c r="B12" i="11" s="1"/>
  <c r="C12" i="11" s="1"/>
  <c r="E12" i="11" s="1"/>
  <c r="F12" i="11" s="1"/>
  <c r="H12" i="11" s="1"/>
  <c r="C48" i="3"/>
  <c r="B97" i="11" s="1"/>
  <c r="C97" i="11" s="1"/>
  <c r="E97" i="11" s="1"/>
  <c r="F97" i="11" s="1"/>
  <c r="H97" i="11" s="1"/>
  <c r="C36" i="3"/>
  <c r="B73" i="11" s="1"/>
  <c r="C73" i="11" s="1"/>
  <c r="E73" i="11" s="1"/>
  <c r="F73" i="11" s="1"/>
  <c r="H73" i="11" s="1"/>
  <c r="C51" i="3"/>
  <c r="B100" i="11" s="1"/>
  <c r="C100" i="11" s="1"/>
  <c r="E100" i="11" s="1"/>
  <c r="F100" i="11" s="1"/>
  <c r="H100" i="11" s="1"/>
  <c r="C2" i="3"/>
  <c r="B2" i="11" s="1"/>
  <c r="C2" i="11" s="1"/>
  <c r="E2" i="11" s="1"/>
  <c r="F2" i="11" s="1"/>
  <c r="H2" i="11" s="1"/>
  <c r="C18" i="3"/>
  <c r="B18" i="11" s="1"/>
  <c r="C18" i="11" s="1"/>
  <c r="E18" i="11" s="1"/>
  <c r="F18" i="11" s="1"/>
  <c r="H18" i="11" s="1"/>
  <c r="C20" i="3"/>
  <c r="B20" i="11" s="1"/>
  <c r="C20" i="11" s="1"/>
  <c r="E20" i="11" s="1"/>
  <c r="F20" i="11" s="1"/>
  <c r="H20" i="11" s="1"/>
  <c r="C29" i="3"/>
  <c r="B50" i="11" s="1"/>
  <c r="C50" i="11" s="1"/>
  <c r="E50" i="11" s="1"/>
  <c r="F50" i="11" s="1"/>
  <c r="H50" i="11" s="1"/>
  <c r="C45" i="3"/>
  <c r="E23" i="2"/>
  <c r="E26" i="2" s="1"/>
  <c r="C53" i="3"/>
  <c r="B102" i="11" s="1"/>
  <c r="C102" i="11" s="1"/>
  <c r="E102" i="11" s="1"/>
  <c r="F102" i="11" s="1"/>
  <c r="H102" i="11" s="1"/>
  <c r="C31" i="3"/>
  <c r="C38" i="3"/>
  <c r="B75" i="11" s="1"/>
  <c r="C75" i="11" s="1"/>
  <c r="E75" i="11" s="1"/>
  <c r="F75" i="11" s="1"/>
  <c r="H75" i="11" s="1"/>
  <c r="C33" i="3"/>
  <c r="C46" i="3"/>
  <c r="C28" i="3"/>
  <c r="C54" i="3"/>
  <c r="B103" i="11" s="1"/>
  <c r="C103" i="11" s="1"/>
  <c r="E103" i="11" s="1"/>
  <c r="F103" i="11" s="1"/>
  <c r="H103" i="11" s="1"/>
  <c r="C49" i="3"/>
  <c r="B98" i="11" s="1"/>
  <c r="C98" i="11" s="1"/>
  <c r="E98" i="11" s="1"/>
  <c r="F98" i="11" s="1"/>
  <c r="H98" i="11" s="1"/>
  <c r="C25" i="3"/>
  <c r="C47" i="3"/>
  <c r="B96" i="11" s="1"/>
  <c r="C96" i="11" s="1"/>
  <c r="E96" i="11" s="1"/>
  <c r="F96" i="11" s="1"/>
  <c r="H96" i="11" s="1"/>
  <c r="C24" i="3"/>
  <c r="C3" i="3"/>
  <c r="B3" i="11" s="1"/>
  <c r="C3" i="11" s="1"/>
  <c r="E3" i="11" s="1"/>
  <c r="F3" i="11" s="1"/>
  <c r="H3" i="11" s="1"/>
  <c r="C13" i="3"/>
  <c r="B13" i="11" s="1"/>
  <c r="C13" i="11" s="1"/>
  <c r="E13" i="11" s="1"/>
  <c r="F13" i="11" s="1"/>
  <c r="H13" i="11" s="1"/>
  <c r="C16" i="3"/>
  <c r="B16" i="11" s="1"/>
  <c r="C16" i="11" s="1"/>
  <c r="E16" i="11" s="1"/>
  <c r="F16" i="11" s="1"/>
  <c r="H16" i="11" s="1"/>
  <c r="C23" i="3"/>
  <c r="C5" i="3"/>
  <c r="B5" i="11" s="1"/>
  <c r="C5" i="11" s="1"/>
  <c r="E5" i="11" s="1"/>
  <c r="F5" i="11" s="1"/>
  <c r="H5" i="11" s="1"/>
  <c r="C42" i="3"/>
  <c r="B79" i="11" s="1"/>
  <c r="C79" i="11" s="1"/>
  <c r="E79" i="11" s="1"/>
  <c r="F79" i="11" s="1"/>
  <c r="H79" i="11" s="1"/>
  <c r="C32" i="3"/>
  <c r="C4" i="3"/>
  <c r="B4" i="11" s="1"/>
  <c r="C4" i="11" s="1"/>
  <c r="E4" i="11" s="1"/>
  <c r="F4" i="11" s="1"/>
  <c r="H4" i="11" s="1"/>
  <c r="C37" i="3"/>
  <c r="B74" i="11" s="1"/>
  <c r="C74" i="11" s="1"/>
  <c r="E74" i="11" s="1"/>
  <c r="F74" i="11" s="1"/>
  <c r="H74" i="11" s="1"/>
  <c r="C57" i="3"/>
  <c r="B106" i="11" s="1"/>
  <c r="C106" i="11" s="1"/>
  <c r="E106" i="11" s="1"/>
  <c r="F106" i="11" s="1"/>
  <c r="H106" i="11" s="1"/>
  <c r="C34" i="3"/>
  <c r="C6" i="3"/>
  <c r="B6" i="11" s="1"/>
  <c r="C6" i="11" s="1"/>
  <c r="E6" i="11" s="1"/>
  <c r="F6" i="11" s="1"/>
  <c r="H6" i="11" s="1"/>
  <c r="C55" i="3"/>
  <c r="B104" i="11" s="1"/>
  <c r="C104" i="11" s="1"/>
  <c r="E104" i="11" s="1"/>
  <c r="F104" i="11" s="1"/>
  <c r="H104" i="11" s="1"/>
  <c r="C41" i="3"/>
  <c r="B78" i="11" s="1"/>
  <c r="C78" i="11" s="1"/>
  <c r="E78" i="11" s="1"/>
  <c r="F78" i="11" s="1"/>
  <c r="H78" i="11" s="1"/>
  <c r="C44" i="3"/>
  <c r="C58" i="3"/>
  <c r="B107" i="11" s="1"/>
  <c r="C107" i="11" s="1"/>
  <c r="E107" i="11" s="1"/>
  <c r="F107" i="11" s="1"/>
  <c r="H107" i="11" s="1"/>
  <c r="C17" i="3"/>
  <c r="B17" i="11" s="1"/>
  <c r="C17" i="11" s="1"/>
  <c r="E17" i="11" s="1"/>
  <c r="F17" i="11" s="1"/>
  <c r="H17" i="11" s="1"/>
  <c r="C39" i="3"/>
  <c r="B76" i="11" s="1"/>
  <c r="C76" i="11" s="1"/>
  <c r="E76" i="11" s="1"/>
  <c r="F76" i="11" s="1"/>
  <c r="H76" i="11" s="1"/>
  <c r="C52" i="3"/>
  <c r="B101" i="11" s="1"/>
  <c r="C101" i="11" s="1"/>
  <c r="E101" i="11" s="1"/>
  <c r="F101" i="11" s="1"/>
  <c r="H101" i="11" s="1"/>
  <c r="C35" i="3"/>
  <c r="B72" i="11" s="1"/>
  <c r="C72" i="11" s="1"/>
  <c r="E72" i="11" s="1"/>
  <c r="F72" i="11" s="1"/>
  <c r="H72" i="11" s="1"/>
  <c r="C40" i="3"/>
  <c r="B77" i="11" s="1"/>
  <c r="C77" i="11" s="1"/>
  <c r="E77" i="11" s="1"/>
  <c r="F77" i="11" s="1"/>
  <c r="H77" i="11" s="1"/>
  <c r="C9" i="3"/>
  <c r="B9" i="11" s="1"/>
  <c r="C9" i="11" s="1"/>
  <c r="E9" i="11" s="1"/>
  <c r="F9" i="11" s="1"/>
  <c r="H9" i="11" s="1"/>
  <c r="C15" i="3"/>
  <c r="B15" i="11" s="1"/>
  <c r="C15" i="11" s="1"/>
  <c r="E15" i="11" s="1"/>
  <c r="F15" i="11" s="1"/>
  <c r="H15" i="11" s="1"/>
  <c r="C8" i="3"/>
  <c r="B8" i="11" s="1"/>
  <c r="C8" i="11" s="1"/>
  <c r="E8" i="11" s="1"/>
  <c r="F8" i="11" s="1"/>
  <c r="H8" i="11" s="1"/>
  <c r="C11" i="3"/>
  <c r="B11" i="11" s="1"/>
  <c r="C11" i="11" s="1"/>
  <c r="E11" i="11" s="1"/>
  <c r="F11" i="11" s="1"/>
  <c r="H11" i="11" s="1"/>
  <c r="C27" i="3"/>
  <c r="C43" i="3"/>
  <c r="C10" i="3"/>
  <c r="B10" i="11" s="1"/>
  <c r="C10" i="11" s="1"/>
  <c r="E10" i="11" s="1"/>
  <c r="F10" i="11" s="1"/>
  <c r="H10" i="11" s="1"/>
  <c r="C14" i="3"/>
  <c r="B14" i="11" s="1"/>
  <c r="C14" i="11" s="1"/>
  <c r="E14" i="11" s="1"/>
  <c r="F14" i="11" s="1"/>
  <c r="H14" i="11" s="1"/>
  <c r="C7" i="3"/>
  <c r="B7" i="11" s="1"/>
  <c r="C7" i="11" s="1"/>
  <c r="E7" i="11" s="1"/>
  <c r="F7" i="11" s="1"/>
  <c r="H7" i="11" s="1"/>
  <c r="C21" i="3"/>
  <c r="B21" i="11" s="1"/>
  <c r="C21" i="11" s="1"/>
  <c r="E21" i="11" s="1"/>
  <c r="F21" i="11" s="1"/>
  <c r="H21" i="11" s="1"/>
  <c r="C50" i="3"/>
  <c r="B99" i="11" s="1"/>
  <c r="C99" i="11" s="1"/>
  <c r="E99" i="11" s="1"/>
  <c r="F99" i="11" s="1"/>
  <c r="H99" i="11" s="1"/>
  <c r="C22" i="3"/>
  <c r="C26" i="3"/>
  <c r="B37" i="11" l="1"/>
  <c r="C37" i="11" s="1"/>
  <c r="E37" i="11" s="1"/>
  <c r="F37" i="11" s="1"/>
  <c r="H37" i="11" s="1"/>
  <c r="B38" i="11"/>
  <c r="C38" i="11" s="1"/>
  <c r="E38" i="11" s="1"/>
  <c r="F38" i="11" s="1"/>
  <c r="H38" i="11" s="1"/>
  <c r="B39" i="11"/>
  <c r="C39" i="11" s="1"/>
  <c r="E39" i="11" s="1"/>
  <c r="F39" i="11" s="1"/>
  <c r="H39" i="11" s="1"/>
  <c r="B41" i="11"/>
  <c r="C41" i="11" s="1"/>
  <c r="E41" i="11" s="1"/>
  <c r="F41" i="11" s="1"/>
  <c r="H41" i="11" s="1"/>
  <c r="B40" i="11"/>
  <c r="C40" i="11" s="1"/>
  <c r="E40" i="11" s="1"/>
  <c r="F40" i="11" s="1"/>
  <c r="H40" i="11" s="1"/>
  <c r="B42" i="11"/>
  <c r="C42" i="11" s="1"/>
  <c r="E42" i="11" s="1"/>
  <c r="F42" i="11" s="1"/>
  <c r="H42" i="11" s="1"/>
  <c r="B24" i="11"/>
  <c r="C24" i="11" s="1"/>
  <c r="E24" i="11" s="1"/>
  <c r="F24" i="11" s="1"/>
  <c r="H24" i="11" s="1"/>
  <c r="B22" i="11"/>
  <c r="C22" i="11" s="1"/>
  <c r="E22" i="11" s="1"/>
  <c r="F22" i="11" s="1"/>
  <c r="H22" i="11" s="1"/>
  <c r="B23" i="11"/>
  <c r="C23" i="11" s="1"/>
  <c r="E23" i="11" s="1"/>
  <c r="F23" i="11" s="1"/>
  <c r="H23" i="11" s="1"/>
  <c r="B66" i="11"/>
  <c r="C66" i="11" s="1"/>
  <c r="E66" i="11" s="1"/>
  <c r="F66" i="11" s="1"/>
  <c r="H66" i="11" s="1"/>
  <c r="B67" i="11"/>
  <c r="C67" i="11" s="1"/>
  <c r="E67" i="11" s="1"/>
  <c r="F67" i="11" s="1"/>
  <c r="H67" i="11" s="1"/>
  <c r="B69" i="11"/>
  <c r="C69" i="11" s="1"/>
  <c r="E69" i="11" s="1"/>
  <c r="F69" i="11" s="1"/>
  <c r="H69" i="11" s="1"/>
  <c r="B68" i="11"/>
  <c r="C68" i="11" s="1"/>
  <c r="E68" i="11" s="1"/>
  <c r="F68" i="11" s="1"/>
  <c r="H68" i="11" s="1"/>
  <c r="B36" i="11"/>
  <c r="C36" i="11" s="1"/>
  <c r="E36" i="11" s="1"/>
  <c r="F36" i="11" s="1"/>
  <c r="H36" i="11" s="1"/>
  <c r="B35" i="11"/>
  <c r="C35" i="11" s="1"/>
  <c r="E35" i="11" s="1"/>
  <c r="F35" i="11" s="1"/>
  <c r="H35" i="11" s="1"/>
  <c r="B29" i="11"/>
  <c r="C29" i="11" s="1"/>
  <c r="E29" i="11" s="1"/>
  <c r="F29" i="11" s="1"/>
  <c r="H29" i="11" s="1"/>
  <c r="B28" i="11"/>
  <c r="C28" i="11" s="1"/>
  <c r="E28" i="11" s="1"/>
  <c r="F28" i="11" s="1"/>
  <c r="H28" i="11" s="1"/>
  <c r="B26" i="11"/>
  <c r="C26" i="11" s="1"/>
  <c r="E26" i="11" s="1"/>
  <c r="F26" i="11" s="1"/>
  <c r="H26" i="11" s="1"/>
  <c r="B31" i="11"/>
  <c r="C31" i="11" s="1"/>
  <c r="E31" i="11" s="1"/>
  <c r="F31" i="11" s="1"/>
  <c r="H31" i="11" s="1"/>
  <c r="B27" i="11"/>
  <c r="C27" i="11" s="1"/>
  <c r="E27" i="11" s="1"/>
  <c r="F27" i="11" s="1"/>
  <c r="H27" i="11" s="1"/>
  <c r="B25" i="11"/>
  <c r="C25" i="11" s="1"/>
  <c r="E25" i="11" s="1"/>
  <c r="F25" i="11" s="1"/>
  <c r="H25" i="11" s="1"/>
  <c r="B30" i="11"/>
  <c r="C30" i="11" s="1"/>
  <c r="E30" i="11" s="1"/>
  <c r="F30" i="11" s="1"/>
  <c r="H30" i="11" s="1"/>
  <c r="B32" i="11"/>
  <c r="C32" i="11" s="1"/>
  <c r="E32" i="11" s="1"/>
  <c r="F32" i="11" s="1"/>
  <c r="H32" i="11" s="1"/>
  <c r="B34" i="11"/>
  <c r="C34" i="11" s="1"/>
  <c r="E34" i="11" s="1"/>
  <c r="F34" i="11" s="1"/>
  <c r="H34" i="11" s="1"/>
  <c r="B33" i="11"/>
  <c r="C33" i="11" s="1"/>
  <c r="E33" i="11" s="1"/>
  <c r="F33" i="11" s="1"/>
  <c r="H33" i="11" s="1"/>
  <c r="B90" i="11"/>
  <c r="C90" i="11" s="1"/>
  <c r="E90" i="11" s="1"/>
  <c r="F90" i="11" s="1"/>
  <c r="H90" i="11" s="1"/>
  <c r="B89" i="11"/>
  <c r="C89" i="11" s="1"/>
  <c r="E89" i="11" s="1"/>
  <c r="F89" i="11" s="1"/>
  <c r="H89" i="11" s="1"/>
  <c r="B88" i="11"/>
  <c r="C88" i="11" s="1"/>
  <c r="E88" i="11" s="1"/>
  <c r="F88" i="11" s="1"/>
  <c r="H88" i="11" s="1"/>
  <c r="B91" i="11"/>
  <c r="C91" i="11" s="1"/>
  <c r="E91" i="11" s="1"/>
  <c r="F91" i="11" s="1"/>
  <c r="H91" i="11" s="1"/>
  <c r="B95" i="11"/>
  <c r="C95" i="11" s="1"/>
  <c r="E95" i="11" s="1"/>
  <c r="F95" i="11" s="1"/>
  <c r="H95" i="11" s="1"/>
  <c r="B93" i="11"/>
  <c r="C93" i="11" s="1"/>
  <c r="E93" i="11" s="1"/>
  <c r="F93" i="11" s="1"/>
  <c r="H93" i="11" s="1"/>
  <c r="B94" i="11"/>
  <c r="C94" i="11" s="1"/>
  <c r="E94" i="11" s="1"/>
  <c r="F94" i="11" s="1"/>
  <c r="H94" i="11" s="1"/>
  <c r="B92" i="11"/>
  <c r="C92" i="11" s="1"/>
  <c r="E92" i="11" s="1"/>
  <c r="F92" i="11" s="1"/>
  <c r="H92" i="11" s="1"/>
  <c r="B82" i="11"/>
  <c r="C82" i="11" s="1"/>
  <c r="E82" i="11" s="1"/>
  <c r="F82" i="11" s="1"/>
  <c r="H82" i="11" s="1"/>
  <c r="B81" i="11"/>
  <c r="C81" i="11" s="1"/>
  <c r="E81" i="11" s="1"/>
  <c r="F81" i="11" s="1"/>
  <c r="H81" i="11" s="1"/>
  <c r="B80" i="11"/>
  <c r="C80" i="11" s="1"/>
  <c r="E80" i="11" s="1"/>
  <c r="F80" i="11" s="1"/>
  <c r="H80" i="11" s="1"/>
  <c r="B83" i="11"/>
  <c r="C83" i="11" s="1"/>
  <c r="E83" i="11" s="1"/>
  <c r="F83" i="11" s="1"/>
  <c r="H83" i="11" s="1"/>
  <c r="B84" i="11"/>
  <c r="C84" i="11" s="1"/>
  <c r="E84" i="11" s="1"/>
  <c r="F84" i="11" s="1"/>
  <c r="H84" i="11" s="1"/>
  <c r="B87" i="11"/>
  <c r="C87" i="11" s="1"/>
  <c r="E87" i="11" s="1"/>
  <c r="F87" i="11" s="1"/>
  <c r="H87" i="11" s="1"/>
  <c r="B86" i="11"/>
  <c r="C86" i="11" s="1"/>
  <c r="E86" i="11" s="1"/>
  <c r="F86" i="11" s="1"/>
  <c r="H86" i="11" s="1"/>
  <c r="B85" i="11"/>
  <c r="C85" i="11" s="1"/>
  <c r="E85" i="11" s="1"/>
  <c r="F85" i="11" s="1"/>
  <c r="H85" i="11" s="1"/>
  <c r="B71" i="11"/>
  <c r="C71" i="11" s="1"/>
  <c r="E71" i="11" s="1"/>
  <c r="F71" i="11" s="1"/>
  <c r="H71" i="11" s="1"/>
  <c r="B70" i="11"/>
  <c r="C70" i="11" s="1"/>
  <c r="E70" i="11" s="1"/>
  <c r="F70" i="11" s="1"/>
  <c r="H70" i="11" s="1"/>
  <c r="B65" i="11"/>
  <c r="C65" i="11" s="1"/>
  <c r="E65" i="11" s="1"/>
  <c r="F65" i="11" s="1"/>
  <c r="H65" i="11" s="1"/>
  <c r="B64" i="11"/>
  <c r="C64" i="11" s="1"/>
  <c r="E64" i="11" s="1"/>
  <c r="F64" i="11" s="1"/>
  <c r="H64" i="11" s="1"/>
  <c r="B63" i="11"/>
  <c r="C63" i="11" s="1"/>
  <c r="E63" i="11" s="1"/>
  <c r="F63" i="11" s="1"/>
  <c r="H63" i="11" s="1"/>
  <c r="B61" i="11"/>
  <c r="C61" i="11" s="1"/>
  <c r="E61" i="11" s="1"/>
  <c r="F61" i="11" s="1"/>
  <c r="H61" i="11" s="1"/>
  <c r="B60" i="11"/>
  <c r="C60" i="11" s="1"/>
  <c r="E60" i="11" s="1"/>
  <c r="F60" i="11" s="1"/>
  <c r="H60" i="11" s="1"/>
  <c r="B62" i="11"/>
  <c r="C62" i="11" s="1"/>
  <c r="E62" i="11" s="1"/>
  <c r="F62" i="11" s="1"/>
  <c r="H62" i="11" s="1"/>
  <c r="B49" i="11"/>
  <c r="C49" i="11" s="1"/>
  <c r="E49" i="11" s="1"/>
  <c r="F49" i="11" s="1"/>
  <c r="H49" i="11" s="1"/>
  <c r="B47" i="11"/>
  <c r="C47" i="11" s="1"/>
  <c r="E47" i="11" s="1"/>
  <c r="F47" i="11" s="1"/>
  <c r="H47" i="11" s="1"/>
  <c r="B45" i="11"/>
  <c r="C45" i="11" s="1"/>
  <c r="E45" i="11" s="1"/>
  <c r="F45" i="11" s="1"/>
  <c r="H45" i="11" s="1"/>
  <c r="B44" i="11"/>
  <c r="C44" i="11" s="1"/>
  <c r="E44" i="11" s="1"/>
  <c r="F44" i="11" s="1"/>
  <c r="H44" i="11" s="1"/>
  <c r="B46" i="11"/>
  <c r="C46" i="11" s="1"/>
  <c r="E46" i="11" s="1"/>
  <c r="F46" i="11" s="1"/>
  <c r="H46" i="11" s="1"/>
  <c r="B43" i="11"/>
  <c r="C43" i="11" s="1"/>
  <c r="E43" i="11" s="1"/>
  <c r="F43" i="11" s="1"/>
  <c r="H43" i="11" s="1"/>
  <c r="B48" i="11"/>
  <c r="C48" i="11" s="1"/>
  <c r="E48" i="11" s="1"/>
  <c r="F48" i="11" s="1"/>
  <c r="H48" i="11" s="1"/>
  <c r="B58" i="11"/>
  <c r="C58" i="11" s="1"/>
  <c r="E58" i="11" s="1"/>
  <c r="F58" i="11" s="1"/>
  <c r="H58" i="11" s="1"/>
  <c r="B57" i="11"/>
  <c r="C57" i="11" s="1"/>
  <c r="E57" i="11" s="1"/>
  <c r="F57" i="11" s="1"/>
  <c r="H57" i="11" s="1"/>
  <c r="B56" i="11"/>
  <c r="C56" i="11" s="1"/>
  <c r="E56" i="11" s="1"/>
  <c r="F56" i="11" s="1"/>
  <c r="H56" i="11" s="1"/>
  <c r="B55" i="11"/>
  <c r="C55" i="11" s="1"/>
  <c r="E55" i="11" s="1"/>
  <c r="F55" i="11" s="1"/>
  <c r="H55" i="11" s="1"/>
  <c r="B59" i="11"/>
  <c r="C59" i="11" s="1"/>
  <c r="E59" i="11" s="1"/>
  <c r="F59" i="11" s="1"/>
  <c r="H59" i="11" s="1"/>
  <c r="B54" i="11"/>
  <c r="C54" i="11" s="1"/>
  <c r="E54" i="11" s="1"/>
  <c r="F54" i="11" s="1"/>
  <c r="H54" i="11" s="1"/>
  <c r="B51" i="11"/>
  <c r="C51" i="11" s="1"/>
  <c r="E51" i="11" s="1"/>
  <c r="F51" i="11" s="1"/>
  <c r="H51" i="11" s="1"/>
  <c r="B53" i="11"/>
  <c r="C53" i="11" s="1"/>
  <c r="E53" i="11" s="1"/>
  <c r="F53" i="11" s="1"/>
  <c r="H53" i="11" s="1"/>
  <c r="B52" i="11"/>
  <c r="C52" i="11" s="1"/>
  <c r="E52" i="11" s="1"/>
  <c r="F52" i="11" s="1"/>
  <c r="H52" i="11" s="1"/>
</calcChain>
</file>

<file path=xl/sharedStrings.xml><?xml version="1.0" encoding="utf-8"?>
<sst xmlns="http://schemas.openxmlformats.org/spreadsheetml/2006/main" count="918" uniqueCount="187">
  <si>
    <t>Meal Type</t>
  </si>
  <si>
    <t>Dessert</t>
  </si>
  <si>
    <t>Name</t>
  </si>
  <si>
    <t>House salad</t>
  </si>
  <si>
    <t>Sides</t>
  </si>
  <si>
    <t>NY Strip</t>
  </si>
  <si>
    <t>Fetticinni alfredo</t>
  </si>
  <si>
    <t>asparagus</t>
  </si>
  <si>
    <t>broccoli</t>
  </si>
  <si>
    <t>Ribeye</t>
  </si>
  <si>
    <t>Salmon</t>
  </si>
  <si>
    <t>Burger</t>
  </si>
  <si>
    <t>French Fries</t>
  </si>
  <si>
    <t>Pesto Tortillini</t>
  </si>
  <si>
    <t>Cod</t>
  </si>
  <si>
    <t>Snacks</t>
  </si>
  <si>
    <t>rice</t>
  </si>
  <si>
    <t>potatoe Wedges</t>
  </si>
  <si>
    <t>cookie</t>
  </si>
  <si>
    <t>ice cream</t>
  </si>
  <si>
    <t>cup cake</t>
  </si>
  <si>
    <t>popsicle</t>
  </si>
  <si>
    <t>Dinner</t>
  </si>
  <si>
    <t>Breakfast</t>
  </si>
  <si>
    <t>Lunch</t>
  </si>
  <si>
    <t>PB&amp;J</t>
  </si>
  <si>
    <t>turkey sandwiche</t>
  </si>
  <si>
    <t>Hot Dogs</t>
  </si>
  <si>
    <t>Grilled Cheese</t>
  </si>
  <si>
    <t>Pizza</t>
  </si>
  <si>
    <t>pop tarts</t>
  </si>
  <si>
    <t>chips</t>
  </si>
  <si>
    <t>graham crackers</t>
  </si>
  <si>
    <t>apples</t>
  </si>
  <si>
    <t>banana</t>
  </si>
  <si>
    <t>oranges</t>
  </si>
  <si>
    <t>Butter</t>
  </si>
  <si>
    <t>Bread</t>
  </si>
  <si>
    <t>Coffee</t>
  </si>
  <si>
    <t>Chicken</t>
  </si>
  <si>
    <t>Alfredo Sauce</t>
  </si>
  <si>
    <t>Ground Beef</t>
  </si>
  <si>
    <t>Torillini</t>
  </si>
  <si>
    <t>Pesto Sauce</t>
  </si>
  <si>
    <t>Hot Dog Buns</t>
  </si>
  <si>
    <t>Sliced Turkey</t>
  </si>
  <si>
    <t>Mayo</t>
  </si>
  <si>
    <t>Mustard</t>
  </si>
  <si>
    <t>Tomatoe</t>
  </si>
  <si>
    <t>Peanut Butter</t>
  </si>
  <si>
    <t>Jelly</t>
  </si>
  <si>
    <t>Yogurt</t>
  </si>
  <si>
    <t>Granola</t>
  </si>
  <si>
    <t>Cereal</t>
  </si>
  <si>
    <t>Bacon</t>
  </si>
  <si>
    <t>Sour Cream</t>
  </si>
  <si>
    <t>Bacon Bits</t>
  </si>
  <si>
    <t xml:space="preserve">Shredded Chesse </t>
  </si>
  <si>
    <t>Large Elbow Noodles</t>
  </si>
  <si>
    <t>Sharp Cheddar Chesse</t>
  </si>
  <si>
    <t>Onion</t>
  </si>
  <si>
    <t>Heavy Whipping Cream</t>
  </si>
  <si>
    <t>Rice</t>
  </si>
  <si>
    <t>Carrots</t>
  </si>
  <si>
    <t>Apples</t>
  </si>
  <si>
    <t>Banana</t>
  </si>
  <si>
    <t>Oranges</t>
  </si>
  <si>
    <t>Cookie</t>
  </si>
  <si>
    <t>Potatoe</t>
  </si>
  <si>
    <t>Canned Corn</t>
  </si>
  <si>
    <t>Ice Cream</t>
  </si>
  <si>
    <t>Popsicle</t>
  </si>
  <si>
    <t>Spaghetti Sauce</t>
  </si>
  <si>
    <t>Shrimp</t>
  </si>
  <si>
    <t>Pork Chop</t>
  </si>
  <si>
    <t>Sliced Cheese</t>
  </si>
  <si>
    <t>Hamburger Bun</t>
  </si>
  <si>
    <t>Ketchup</t>
  </si>
  <si>
    <t>Kraft Mac and Cheese</t>
  </si>
  <si>
    <t xml:space="preserve">Milk </t>
  </si>
  <si>
    <t>Biscuits</t>
  </si>
  <si>
    <t>Chicken Wings</t>
  </si>
  <si>
    <t>Ranch Dressing</t>
  </si>
  <si>
    <t>Tortillas</t>
  </si>
  <si>
    <t>Salsa</t>
  </si>
  <si>
    <t xml:space="preserve">Egg </t>
  </si>
  <si>
    <t>Cereal Bar</t>
  </si>
  <si>
    <t>Monday</t>
  </si>
  <si>
    <t>Tuesday</t>
  </si>
  <si>
    <t>Wednesday</t>
  </si>
  <si>
    <t>Thursday</t>
  </si>
  <si>
    <t>Friday</t>
  </si>
  <si>
    <t>Saturday</t>
  </si>
  <si>
    <t>Sunday</t>
  </si>
  <si>
    <t>Main</t>
  </si>
  <si>
    <t>Toast</t>
  </si>
  <si>
    <t>Desserts</t>
  </si>
  <si>
    <t>Chicken Tacos</t>
  </si>
  <si>
    <t>Beef Tacos</t>
  </si>
  <si>
    <t>Chicken Thighs</t>
  </si>
  <si>
    <t>cereal</t>
  </si>
  <si>
    <t>pancakes</t>
  </si>
  <si>
    <t>Soup</t>
  </si>
  <si>
    <t>Canned Soup</t>
  </si>
  <si>
    <t>Crackers</t>
  </si>
  <si>
    <t>Gravy</t>
  </si>
  <si>
    <t>Iceberg Lettuce</t>
  </si>
  <si>
    <t>NumberOfPeople</t>
  </si>
  <si>
    <t>PortionSizeAsDecimal</t>
  </si>
  <si>
    <t>Shopping List Items</t>
  </si>
  <si>
    <t>Spaghetti</t>
  </si>
  <si>
    <t>Fruit Snacks</t>
  </si>
  <si>
    <t>Chips</t>
  </si>
  <si>
    <t>Nutragrain Bars</t>
  </si>
  <si>
    <t>Graham Crackers</t>
  </si>
  <si>
    <t>Pop Tarts</t>
  </si>
  <si>
    <t>Pancakes</t>
  </si>
  <si>
    <t>Waffles</t>
  </si>
  <si>
    <t>Boxed Mac And Cheese</t>
  </si>
  <si>
    <t>Parmesan Cheese</t>
  </si>
  <si>
    <t>Dressing Of Choice</t>
  </si>
  <si>
    <t>Buffalo Sauce</t>
  </si>
  <si>
    <t>Asparagus</t>
  </si>
  <si>
    <t>Broccoli</t>
  </si>
  <si>
    <t>Cup Cake</t>
  </si>
  <si>
    <t>MealCount</t>
  </si>
  <si>
    <t>Shopping List</t>
  </si>
  <si>
    <t>Number of Items Needed</t>
  </si>
  <si>
    <t>Item Type</t>
  </si>
  <si>
    <t>Jar</t>
  </si>
  <si>
    <t>Each</t>
  </si>
  <si>
    <t>Bunch</t>
  </si>
  <si>
    <t>Pack</t>
  </si>
  <si>
    <t>Box</t>
  </si>
  <si>
    <t>Loaf</t>
  </si>
  <si>
    <t>Can</t>
  </si>
  <si>
    <t>Filet</t>
  </si>
  <si>
    <t>Bag</t>
  </si>
  <si>
    <t>Dozen</t>
  </si>
  <si>
    <t>Pounds</t>
  </si>
  <si>
    <t>Carton</t>
  </si>
  <si>
    <t>Gallon</t>
  </si>
  <si>
    <t>Head</t>
  </si>
  <si>
    <t>Mix Box</t>
  </si>
  <si>
    <t>Frozen</t>
  </si>
  <si>
    <t>Sweet Potatoe</t>
  </si>
  <si>
    <t>Shredded Cheese</t>
  </si>
  <si>
    <t>Main_Type</t>
  </si>
  <si>
    <t>Sub_Type</t>
  </si>
  <si>
    <t>Pack of 8</t>
  </si>
  <si>
    <t>Pb&amp;J</t>
  </si>
  <si>
    <t>Turkey Sandwiche</t>
  </si>
  <si>
    <t>Kraft Mac And Cheese</t>
  </si>
  <si>
    <t>Spagetti W/ Meat Sauce</t>
  </si>
  <si>
    <t>Ny Strip</t>
  </si>
  <si>
    <t>House Salad</t>
  </si>
  <si>
    <t>Loaded Baked Potatoe</t>
  </si>
  <si>
    <t>Mac-And-Cheese</t>
  </si>
  <si>
    <t>Potatoe Wedges</t>
  </si>
  <si>
    <t>Sweet Potatoe Fries</t>
  </si>
  <si>
    <t>Price</t>
  </si>
  <si>
    <t>Fettuccine</t>
  </si>
  <si>
    <t>Item</t>
  </si>
  <si>
    <t>Cost of Whole Product</t>
  </si>
  <si>
    <t>Cost</t>
  </si>
  <si>
    <t>Fettuccini Alfredo</t>
  </si>
  <si>
    <t>ROUNDUP</t>
  </si>
  <si>
    <t>Sum of ROUNDUP</t>
  </si>
  <si>
    <t>Total:</t>
  </si>
  <si>
    <t>Grand Total:</t>
  </si>
  <si>
    <t>Boxed Mac and Cheese</t>
  </si>
  <si>
    <t>Egg x 2</t>
  </si>
  <si>
    <t>MealPlannerPrice</t>
  </si>
  <si>
    <t>STEP 2: Fill in meal planner</t>
  </si>
  <si>
    <t>Price for 1</t>
  </si>
  <si>
    <t>Cost:</t>
  </si>
  <si>
    <t>DAILY TOTAL</t>
  </si>
  <si>
    <t>Daily Budget</t>
  </si>
  <si>
    <t>Over/Under</t>
  </si>
  <si>
    <t>Weekly Budget:</t>
  </si>
  <si>
    <t>Tax 8%:</t>
  </si>
  <si>
    <t>IndIngredientPrice</t>
  </si>
  <si>
    <t>Total Need To Purchase</t>
  </si>
  <si>
    <t>Total Servings</t>
  </si>
  <si>
    <t>Total Grocery Store Price</t>
  </si>
  <si>
    <t>(blank)</t>
  </si>
  <si>
    <t>Sum of Total Grocery Store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</si>
</sst>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499984740745262"/>
        <bgColor theme="4" tint="-0.49998474074526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4" borderId="1" xfId="0" applyFill="1" applyBorder="1"/>
    <xf numFmtId="2" fontId="0" fillId="0" borderId="0" xfId="0" applyNumberFormat="1"/>
    <xf numFmtId="0" fontId="4" fillId="5" borderId="0" xfId="0" applyFont="1" applyFill="1"/>
    <xf numFmtId="0" fontId="0" fillId="5" borderId="0" xfId="0" applyFill="1"/>
    <xf numFmtId="0" fontId="4" fillId="0" borderId="1" xfId="0" applyFont="1" applyFill="1" applyBorder="1"/>
    <xf numFmtId="0" fontId="4" fillId="0" borderId="1" xfId="0" applyNumberFormat="1" applyFont="1" applyFill="1" applyBorder="1"/>
    <xf numFmtId="0" fontId="4" fillId="7" borderId="1" xfId="0" applyFont="1" applyFill="1" applyBorder="1" applyAlignment="1">
      <alignment horizontal="left"/>
    </xf>
    <xf numFmtId="0" fontId="4" fillId="7" borderId="1" xfId="0" applyNumberFormat="1" applyFont="1" applyFill="1" applyBorder="1"/>
    <xf numFmtId="0" fontId="4" fillId="8" borderId="1" xfId="0" applyFont="1" applyFill="1" applyBorder="1" applyAlignment="1">
      <alignment horizontal="left"/>
    </xf>
    <xf numFmtId="0" fontId="4" fillId="8" borderId="1" xfId="0" applyNumberFormat="1" applyFont="1" applyFill="1" applyBorder="1"/>
    <xf numFmtId="0" fontId="4" fillId="7" borderId="1" xfId="0" applyNumberFormat="1" applyFont="1" applyFill="1" applyBorder="1" applyAlignment="1">
      <alignment horizontal="right"/>
    </xf>
    <xf numFmtId="0" fontId="4" fillId="8" borderId="1" xfId="0" applyNumberFormat="1" applyFont="1" applyFill="1" applyBorder="1" applyAlignment="1">
      <alignment horizontal="right"/>
    </xf>
    <xf numFmtId="2" fontId="0" fillId="2" borderId="1" xfId="0" applyNumberFormat="1" applyFill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0" fontId="4" fillId="0" borderId="0" xfId="0" applyNumberFormat="1" applyFont="1" applyFill="1" applyBorder="1"/>
    <xf numFmtId="0" fontId="0" fillId="10" borderId="0" xfId="0" applyFill="1"/>
    <xf numFmtId="164" fontId="0" fillId="0" borderId="0" xfId="0" applyNumberFormat="1"/>
    <xf numFmtId="164" fontId="0" fillId="0" borderId="1" xfId="0" applyNumberFormat="1" applyBorder="1"/>
    <xf numFmtId="164" fontId="0" fillId="2" borderId="1" xfId="0" applyNumberFormat="1" applyFill="1" applyBorder="1"/>
    <xf numFmtId="164" fontId="4" fillId="5" borderId="0" xfId="0" applyNumberFormat="1" applyFont="1" applyFill="1"/>
    <xf numFmtId="164" fontId="4" fillId="0" borderId="1" xfId="0" applyNumberFormat="1" applyFont="1" applyFill="1" applyBorder="1"/>
    <xf numFmtId="0" fontId="7" fillId="6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4" fillId="7" borderId="3" xfId="0" applyNumberFormat="1" applyFont="1" applyFill="1" applyBorder="1" applyAlignment="1">
      <alignment horizontal="right"/>
    </xf>
    <xf numFmtId="164" fontId="7" fillId="6" borderId="1" xfId="0" applyNumberFormat="1" applyFont="1" applyFill="1" applyBorder="1" applyAlignment="1">
      <alignment horizontal="center" vertical="center" wrapText="1"/>
    </xf>
    <xf numFmtId="164" fontId="4" fillId="7" borderId="3" xfId="0" applyNumberFormat="1" applyFont="1" applyFill="1" applyBorder="1" applyAlignment="1">
      <alignment horizontal="right"/>
    </xf>
    <xf numFmtId="164" fontId="4" fillId="8" borderId="1" xfId="0" applyNumberFormat="1" applyFont="1" applyFill="1" applyBorder="1" applyAlignment="1">
      <alignment horizontal="right"/>
    </xf>
    <xf numFmtId="164" fontId="4" fillId="7" borderId="1" xfId="0" applyNumberFormat="1" applyFont="1" applyFill="1" applyBorder="1" applyAlignment="1">
      <alignment horizontal="right"/>
    </xf>
    <xf numFmtId="164" fontId="4" fillId="0" borderId="0" xfId="0" applyNumberFormat="1" applyFont="1" applyFill="1"/>
    <xf numFmtId="164" fontId="4" fillId="0" borderId="0" xfId="0" applyNumberFormat="1" applyFont="1" applyFill="1" applyBorder="1" applyAlignment="1">
      <alignment horizontal="right"/>
    </xf>
    <xf numFmtId="0" fontId="7" fillId="6" borderId="4" xfId="0" applyFont="1" applyFill="1" applyBorder="1" applyAlignment="1">
      <alignment horizontal="center" vertical="center"/>
    </xf>
    <xf numFmtId="0" fontId="4" fillId="7" borderId="5" xfId="0" applyFont="1" applyFill="1" applyBorder="1" applyAlignment="1">
      <alignment horizontal="left"/>
    </xf>
    <xf numFmtId="0" fontId="4" fillId="8" borderId="4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0" fontId="4" fillId="0" borderId="0" xfId="0" applyFont="1" applyFill="1" applyBorder="1"/>
    <xf numFmtId="164" fontId="7" fillId="0" borderId="0" xfId="0" applyNumberFormat="1" applyFont="1" applyFill="1" applyBorder="1" applyAlignment="1">
      <alignment horizontal="center" vertical="center" wrapText="1"/>
    </xf>
    <xf numFmtId="164" fontId="4" fillId="0" borderId="0" xfId="0" applyNumberFormat="1" applyFont="1" applyFill="1" applyBorder="1"/>
    <xf numFmtId="0" fontId="4" fillId="7" borderId="5" xfId="0" applyFont="1" applyFill="1" applyBorder="1" applyAlignment="1">
      <alignment horizontal="right"/>
    </xf>
    <xf numFmtId="0" fontId="4" fillId="8" borderId="4" xfId="0" applyFont="1" applyFill="1" applyBorder="1" applyAlignment="1">
      <alignment horizontal="right"/>
    </xf>
    <xf numFmtId="0" fontId="4" fillId="7" borderId="4" xfId="0" applyFont="1" applyFill="1" applyBorder="1" applyAlignment="1">
      <alignment horizontal="right"/>
    </xf>
    <xf numFmtId="0" fontId="4" fillId="5" borderId="0" xfId="0" applyFont="1" applyFill="1" applyAlignment="1">
      <alignment horizontal="right"/>
    </xf>
    <xf numFmtId="0" fontId="7" fillId="6" borderId="4" xfId="0" applyFont="1" applyFill="1" applyBorder="1" applyAlignment="1">
      <alignment horizontal="center" vertical="center" wrapText="1"/>
    </xf>
    <xf numFmtId="0" fontId="4" fillId="8" borderId="3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right"/>
    </xf>
    <xf numFmtId="164" fontId="4" fillId="0" borderId="1" xfId="0" applyNumberFormat="1" applyFont="1" applyFill="1" applyBorder="1" applyAlignment="1">
      <alignment horizontal="right"/>
    </xf>
    <xf numFmtId="0" fontId="0" fillId="0" borderId="0" xfId="0" applyBorder="1"/>
    <xf numFmtId="0" fontId="0" fillId="2" borderId="3" xfId="0" applyFill="1" applyBorder="1"/>
    <xf numFmtId="164" fontId="0" fillId="10" borderId="0" xfId="0" applyNumberFormat="1" applyFill="1"/>
    <xf numFmtId="164" fontId="0" fillId="2" borderId="3" xfId="0" applyNumberFormat="1" applyFill="1" applyBorder="1"/>
    <xf numFmtId="0" fontId="0" fillId="0" borderId="9" xfId="0" applyBorder="1"/>
    <xf numFmtId="0" fontId="0" fillId="11" borderId="1" xfId="0" applyFill="1" applyBorder="1" applyAlignment="1"/>
    <xf numFmtId="164" fontId="0" fillId="11" borderId="1" xfId="0" applyNumberFormat="1" applyFill="1" applyBorder="1" applyAlignment="1"/>
    <xf numFmtId="0" fontId="0" fillId="10" borderId="0" xfId="0" applyFill="1" applyBorder="1"/>
    <xf numFmtId="164" fontId="0" fillId="12" borderId="1" xfId="0" applyNumberFormat="1" applyFill="1" applyBorder="1"/>
    <xf numFmtId="164" fontId="4" fillId="5" borderId="0" xfId="0" applyNumberFormat="1" applyFont="1" applyFill="1" applyAlignment="1">
      <alignment horizontal="right"/>
    </xf>
    <xf numFmtId="0" fontId="0" fillId="12" borderId="0" xfId="0" applyFill="1"/>
    <xf numFmtId="1" fontId="0" fillId="2" borderId="1" xfId="0" applyNumberFormat="1" applyFill="1" applyBorder="1"/>
    <xf numFmtId="1" fontId="0" fillId="0" borderId="1" xfId="0" applyNumberFormat="1" applyBorder="1"/>
    <xf numFmtId="1" fontId="0" fillId="0" borderId="0" xfId="0" applyNumberFormat="1"/>
    <xf numFmtId="0" fontId="8" fillId="0" borderId="1" xfId="0" applyFont="1" applyFill="1" applyBorder="1" applyAlignment="1">
      <alignment horizontal="center" vertical="center" wrapText="1"/>
    </xf>
    <xf numFmtId="0" fontId="8" fillId="0" borderId="6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0" fontId="0" fillId="13" borderId="0" xfId="0" applyFill="1"/>
    <xf numFmtId="0" fontId="5" fillId="3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 vertical="center" wrapText="1"/>
    </xf>
    <xf numFmtId="0" fontId="4" fillId="8" borderId="1" xfId="0" applyNumberFormat="1" applyFont="1" applyFill="1" applyBorder="1" applyAlignment="1">
      <alignment horizontal="center"/>
    </xf>
    <xf numFmtId="0" fontId="4" fillId="7" borderId="1" xfId="0" applyNumberFormat="1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4" fillId="8" borderId="4" xfId="0" applyNumberFormat="1" applyFont="1" applyFill="1" applyBorder="1" applyAlignment="1">
      <alignment horizontal="center"/>
    </xf>
    <xf numFmtId="0" fontId="4" fillId="0" borderId="1" xfId="0" applyFont="1" applyFill="1" applyBorder="1" applyAlignment="1"/>
    <xf numFmtId="0" fontId="4" fillId="0" borderId="2" xfId="0" applyFont="1" applyFill="1" applyBorder="1" applyAlignment="1"/>
    <xf numFmtId="0" fontId="4" fillId="0" borderId="0" xfId="0" applyFont="1" applyFill="1" applyAlignment="1"/>
  </cellXfs>
  <cellStyles count="1">
    <cellStyle name="Normal" xfId="0" builtinId="0"/>
  </cellStyles>
  <dxfs count="76">
    <dxf>
      <alignment horizontal="general"/>
    </dxf>
    <dxf>
      <alignment horizontal="general"/>
    </dxf>
    <dxf>
      <font>
        <color rgb="FF9C0006"/>
      </font>
      <fill>
        <patternFill>
          <bgColor rgb="FFFFC7CE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font>
        <color theme="0"/>
      </font>
    </dxf>
    <dxf>
      <numFmt numFmtId="164" formatCode="&quot;$&quot;#,##0.00"/>
    </dxf>
    <dxf>
      <alignment horizontal="right"/>
    </dxf>
    <dxf>
      <alignment horizontal="right"/>
    </dxf>
    <dxf>
      <border>
        <right style="thin">
          <color indexed="64"/>
        </right>
        <top style="thin">
          <color indexed="64"/>
        </top>
        <horizontal style="thin">
          <color indexed="64"/>
        </horizontal>
      </border>
    </dxf>
    <dxf>
      <border>
        <right style="thin">
          <color indexed="64"/>
        </right>
        <top style="thin">
          <color indexed="64"/>
        </top>
        <horizontal style="thin">
          <color indexed="64"/>
        </horizontal>
      </border>
    </dxf>
    <dxf>
      <font>
        <color theme="0"/>
      </font>
    </dxf>
    <dxf>
      <alignment vertical="center"/>
    </dxf>
    <dxf>
      <alignment horizontal="center"/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</border>
    </dxf>
    <dxf>
      <border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alignment vertical="center"/>
    </dxf>
    <dxf>
      <alignment horizontal="center"/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2" tint="-0.249977111117893"/>
        </patternFill>
      </fill>
    </dxf>
    <dxf>
      <fill>
        <patternFill patternType="solid">
          <bgColor theme="2" tint="-0.249977111117893"/>
        </patternFill>
      </fill>
    </dxf>
    <dxf>
      <fill>
        <patternFill patternType="solid">
          <bgColor theme="2" tint="-0.249977111117893"/>
        </patternFill>
      </fill>
    </dxf>
    <dxf>
      <fill>
        <patternFill patternType="solid">
          <bgColor theme="2" tint="-0.249977111117893"/>
        </patternFill>
      </fill>
    </dxf>
    <dxf>
      <fill>
        <patternFill patternType="solid">
          <bgColor theme="2" tint="-0.249977111117893"/>
        </patternFill>
      </fill>
    </dxf>
    <dxf>
      <fill>
        <patternFill patternType="solid">
          <bgColor theme="2" tint="-0.249977111117893"/>
        </patternFill>
      </fill>
    </dxf>
    <dxf>
      <fill>
        <patternFill patternType="solid">
          <bgColor theme="2" tint="-0.24997711111789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</dxfs>
  <tableStyles count="1" defaultTableStyle="TableStyleMedium2" defaultPivotStyle="PivotTable Style 1">
    <tableStyle name="PivotTable Style 1" table="0" count="2" xr9:uid="{A2F59EC3-5BFB-4FB4-BC5A-16F2E97E4E74}">
      <tableStyleElement type="firstRowStripe" dxfId="75"/>
      <tableStyleElement type="secondRowStripe" dxfId="74"/>
    </tableStyle>
  </tableStyles>
  <colors>
    <mruColors>
      <color rgb="FFE1BB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3</xdr:row>
          <xdr:rowOff>9525</xdr:rowOff>
        </xdr:from>
        <xdr:to>
          <xdr:col>6</xdr:col>
          <xdr:colOff>381000</xdr:colOff>
          <xdr:row>7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Started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371475</xdr:colOff>
          <xdr:row>0</xdr:row>
          <xdr:rowOff>114300</xdr:rowOff>
        </xdr:from>
        <xdr:to>
          <xdr:col>19</xdr:col>
          <xdr:colOff>257175</xdr:colOff>
          <xdr:row>1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Meal Planner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0</xdr:row>
          <xdr:rowOff>19050</xdr:rowOff>
        </xdr:from>
        <xdr:to>
          <xdr:col>3</xdr:col>
          <xdr:colOff>800100</xdr:colOff>
          <xdr:row>0</xdr:row>
          <xdr:rowOff>781050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STEP 1: Enter your family size and Daily Budget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190500</xdr:colOff>
      <xdr:row>16</xdr:row>
      <xdr:rowOff>142876</xdr:rowOff>
    </xdr:from>
    <xdr:to>
      <xdr:col>20</xdr:col>
      <xdr:colOff>390525</xdr:colOff>
      <xdr:row>21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3354050" y="5219701"/>
          <a:ext cx="3248025" cy="1428749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ysClr val="windowText" lastClr="000000"/>
              </a:solidFill>
            </a:rPr>
            <a:t>*Meal Planner Total will not match Shopping</a:t>
          </a:r>
          <a:r>
            <a:rPr lang="en-US" sz="1400" baseline="0">
              <a:solidFill>
                <a:sysClr val="windowText" lastClr="000000"/>
              </a:solidFill>
            </a:rPr>
            <a:t> List Total as item may have to be rounded up to a full unit for purchase. </a:t>
          </a:r>
        </a:p>
        <a:p>
          <a:endParaRPr lang="en-US" sz="1400" baseline="0">
            <a:solidFill>
              <a:sysClr val="windowText" lastClr="000000"/>
            </a:solidFill>
          </a:endParaRPr>
        </a:p>
        <a:p>
          <a:r>
            <a:rPr lang="en-US" sz="1400">
              <a:solidFill>
                <a:sysClr val="windowText" lastClr="000000"/>
              </a:solidFill>
            </a:rPr>
            <a:t>These</a:t>
          </a:r>
          <a:r>
            <a:rPr lang="en-US" sz="1400" baseline="0">
              <a:solidFill>
                <a:sysClr val="windowText" lastClr="000000"/>
              </a:solidFill>
            </a:rPr>
            <a:t> costs</a:t>
          </a:r>
          <a:r>
            <a:rPr lang="en-US" sz="1400">
              <a:solidFill>
                <a:sysClr val="windowText" lastClr="000000"/>
              </a:solidFill>
            </a:rPr>
            <a:t> show a (single</a:t>
          </a:r>
          <a:r>
            <a:rPr lang="en-US" sz="1400" baseline="0">
              <a:solidFill>
                <a:sysClr val="windowText" lastClr="000000"/>
              </a:solidFill>
            </a:rPr>
            <a:t> serving * number of people)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342900</xdr:colOff>
          <xdr:row>1</xdr:row>
          <xdr:rowOff>85725</xdr:rowOff>
        </xdr:from>
        <xdr:to>
          <xdr:col>18</xdr:col>
          <xdr:colOff>476250</xdr:colOff>
          <xdr:row>3</xdr:row>
          <xdr:rowOff>28575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Banner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0</xdr:rowOff>
        </xdr:from>
        <xdr:to>
          <xdr:col>11</xdr:col>
          <xdr:colOff>1057275</xdr:colOff>
          <xdr:row>1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STEP 3: View Shopping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1</xdr:row>
          <xdr:rowOff>66675</xdr:rowOff>
        </xdr:from>
        <xdr:to>
          <xdr:col>16</xdr:col>
          <xdr:colOff>571500</xdr:colOff>
          <xdr:row>5</xdr:row>
          <xdr:rowOff>180975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Print Shopping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1</xdr:row>
          <xdr:rowOff>152400</xdr:rowOff>
        </xdr:from>
        <xdr:to>
          <xdr:col>21</xdr:col>
          <xdr:colOff>266700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Banner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111</xdr:row>
          <xdr:rowOff>57150</xdr:rowOff>
        </xdr:from>
        <xdr:to>
          <xdr:col>1</xdr:col>
          <xdr:colOff>666750</xdr:colOff>
          <xdr:row>115</xdr:row>
          <xdr:rowOff>66675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3</xdr:row>
          <xdr:rowOff>161925</xdr:rowOff>
        </xdr:from>
        <xdr:to>
          <xdr:col>24</xdr:col>
          <xdr:colOff>485775</xdr:colOff>
          <xdr:row>5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Banner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es" refreshedDate="44292.677530555557" createdVersion="6" refreshedVersion="6" minRefreshableVersion="3" recordCount="107" xr:uid="{F52207A8-F1AA-4EB6-9308-BFDD6C325DEB}">
  <cacheSource type="worksheet">
    <worksheetSource ref="A1:H1048576" sheet="GroceryListCalculator"/>
  </cacheSource>
  <cacheFields count="8">
    <cacheField name="Shopping List Items" numFmtId="0">
      <sharedItems containsBlank="1" count="81">
        <s v="Fruit Snacks"/>
        <s v="Chips"/>
        <s v="Apples"/>
        <s v="Banana"/>
        <s v="Oranges"/>
        <s v="Nutragrain Bars"/>
        <s v="Graham Crackers"/>
        <s v="Yogurt"/>
        <s v="Bread"/>
        <s v="Pop Tarts"/>
        <s v="Cereal Bar"/>
        <s v="Coffee"/>
        <s v="Egg "/>
        <s v="Bacon"/>
        <s v="Biscuits"/>
        <s v="Gravy"/>
        <s v="Pancakes"/>
        <s v="Waffles"/>
        <s v="Cereal"/>
        <s v="Granola"/>
        <s v="Peanut Butter"/>
        <s v="Jelly"/>
        <s v="Sliced Turkey"/>
        <s v="Sliced Cheese"/>
        <s v="Iceberg Lettuce"/>
        <s v="Tomatoe"/>
        <s v="Mayo"/>
        <s v="Mustard"/>
        <s v="Hot Dogs"/>
        <s v="Hot Dog Buns"/>
        <s v="Canned Soup"/>
        <s v="Crackers"/>
        <s v="Butter"/>
        <s v="Boxed Mac And Cheese"/>
        <s v="Milk "/>
        <s v="Ground Beef"/>
        <s v="Hamburger Bun"/>
        <s v="Ketchup"/>
        <s v="Pizza"/>
        <s v="Torillini"/>
        <s v="Pesto Sauce"/>
        <s v="Parmesan Cheese"/>
        <s v="Chicken Thighs"/>
        <s v="Tortillas"/>
        <s v="Shredded Chesse "/>
        <s v="Salsa"/>
        <s v="Spaghetti"/>
        <s v="Spaghetti Sauce"/>
        <s v="Fettuccine"/>
        <s v="Alfredo Sauce"/>
        <s v="Salmon"/>
        <s v="Cod"/>
        <s v="NY Strip"/>
        <s v="Shrimp"/>
        <s v="Pork Chop"/>
        <s v="Chicken"/>
        <s v="Ribeye"/>
        <s v="Shredded Cheese"/>
        <s v="Onion"/>
        <s v="Dressing Of Choice"/>
        <s v="Chicken Wings"/>
        <s v="Buffalo Sauce"/>
        <s v="Ranch Dressing"/>
        <s v="Potatoe"/>
        <s v="Sour Cream"/>
        <s v="Bacon Bits"/>
        <s v="Large Elbow Noodles"/>
        <s v="Sharp Cheddar Chesse"/>
        <s v="Heavy Whipping Cream"/>
        <s v="Asparagus"/>
        <s v="Broccoli"/>
        <s v="French Fries"/>
        <s v="Rice"/>
        <s v="Carrots"/>
        <s v="Canned Corn"/>
        <s v="Sweet Potatoe"/>
        <s v="Cookie"/>
        <s v="Ice Cream"/>
        <s v="Cup Cake"/>
        <s v="Popsicle"/>
        <m/>
      </sharedItems>
    </cacheField>
    <cacheField name="MealCount" numFmtId="1">
      <sharedItems containsString="0" containsBlank="1" containsNumber="1" containsInteger="1" minValue="0" maxValue="3"/>
    </cacheField>
    <cacheField name="Total Servings" numFmtId="2">
      <sharedItems containsString="0" containsBlank="1" containsNumber="1" minValue="0" maxValue="3"/>
    </cacheField>
    <cacheField name="NumberOfPeople" numFmtId="0">
      <sharedItems containsString="0" containsBlank="1" containsNumber="1" containsInteger="1" minValue="5" maxValue="5"/>
    </cacheField>
    <cacheField name="Total Need To Purchase" numFmtId="0">
      <sharedItems containsString="0" containsBlank="1" containsNumber="1" minValue="0" maxValue="15"/>
    </cacheField>
    <cacheField name="ROUNDUP" numFmtId="0">
      <sharedItems containsString="0" containsBlank="1" containsNumber="1" containsInteger="1" minValue="0" maxValue="15"/>
    </cacheField>
    <cacheField name="Cost of Whole Product" numFmtId="164">
      <sharedItems containsString="0" containsBlank="1" containsNumber="1" minValue="0.24" maxValue="11.97"/>
    </cacheField>
    <cacheField name="Total Grocery Store Price" numFmtId="0">
      <sharedItems containsString="0" containsBlank="1" containsNumber="1" minValue="0" maxValue="29.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">
  <r>
    <x v="0"/>
    <n v="0"/>
    <n v="0"/>
    <n v="5"/>
    <n v="0"/>
    <n v="0"/>
    <n v="4.4000000000000004"/>
    <n v="0"/>
  </r>
  <r>
    <x v="1"/>
    <n v="1"/>
    <n v="0.05"/>
    <n v="5"/>
    <n v="0.25"/>
    <n v="1"/>
    <n v="8.44"/>
    <n v="8.44"/>
  </r>
  <r>
    <x v="2"/>
    <n v="2"/>
    <n v="2"/>
    <n v="5"/>
    <n v="10"/>
    <n v="10"/>
    <n v="0.74"/>
    <n v="7.4"/>
  </r>
  <r>
    <x v="3"/>
    <n v="3"/>
    <n v="3"/>
    <n v="5"/>
    <n v="15"/>
    <n v="15"/>
    <n v="0.24"/>
    <n v="3.5999999999999996"/>
  </r>
  <r>
    <x v="4"/>
    <n v="1"/>
    <n v="1"/>
    <n v="5"/>
    <n v="5"/>
    <n v="5"/>
    <n v="1.536"/>
    <n v="7.68"/>
  </r>
  <r>
    <x v="5"/>
    <n v="1"/>
    <n v="0.125"/>
    <n v="5"/>
    <n v="0.625"/>
    <n v="1"/>
    <n v="4.78"/>
    <n v="4.78"/>
  </r>
  <r>
    <x v="6"/>
    <n v="1"/>
    <n v="0.125"/>
    <n v="5"/>
    <n v="0.625"/>
    <n v="1"/>
    <n v="3.22"/>
    <n v="3.22"/>
  </r>
  <r>
    <x v="7"/>
    <n v="1"/>
    <n v="1"/>
    <n v="5"/>
    <n v="5"/>
    <n v="5"/>
    <n v="1.34"/>
    <n v="6.7"/>
  </r>
  <r>
    <x v="8"/>
    <n v="3"/>
    <n v="0.375"/>
    <n v="5"/>
    <n v="1.875"/>
    <n v="2"/>
    <n v="2.93"/>
    <n v="5.86"/>
  </r>
  <r>
    <x v="9"/>
    <n v="1"/>
    <n v="0.125"/>
    <n v="5"/>
    <n v="0.625"/>
    <n v="1"/>
    <n v="3"/>
    <n v="3"/>
  </r>
  <r>
    <x v="10"/>
    <n v="0"/>
    <n v="0"/>
    <n v="5"/>
    <n v="0"/>
    <n v="0"/>
    <n v="5.48"/>
    <n v="0"/>
  </r>
  <r>
    <x v="11"/>
    <n v="0"/>
    <n v="0"/>
    <n v="5"/>
    <n v="0"/>
    <n v="0"/>
    <n v="3.92"/>
    <n v="0"/>
  </r>
  <r>
    <x v="12"/>
    <n v="3"/>
    <n v="1.02"/>
    <n v="5"/>
    <n v="5.0999999999999996"/>
    <n v="6"/>
    <n v="4.97"/>
    <n v="29.82"/>
  </r>
  <r>
    <x v="13"/>
    <n v="1"/>
    <n v="0.16666666666666666"/>
    <n v="5"/>
    <n v="0.83333333333333326"/>
    <n v="1"/>
    <n v="3.47"/>
    <n v="3.47"/>
  </r>
  <r>
    <x v="14"/>
    <n v="1"/>
    <n v="0.25"/>
    <n v="5"/>
    <n v="1.25"/>
    <n v="2"/>
    <n v="1.98"/>
    <n v="3.96"/>
  </r>
  <r>
    <x v="15"/>
    <n v="0"/>
    <n v="0"/>
    <n v="5"/>
    <n v="0"/>
    <n v="0"/>
    <n v="0.88"/>
    <n v="0"/>
  </r>
  <r>
    <x v="16"/>
    <n v="2"/>
    <n v="0.4"/>
    <n v="5"/>
    <n v="2"/>
    <n v="2"/>
    <n v="2.5"/>
    <n v="5"/>
  </r>
  <r>
    <x v="17"/>
    <n v="0"/>
    <n v="0"/>
    <n v="5"/>
    <n v="0"/>
    <n v="0"/>
    <n v="2.17"/>
    <n v="0"/>
  </r>
  <r>
    <x v="18"/>
    <n v="1"/>
    <n v="8.3333333333333329E-2"/>
    <n v="5"/>
    <n v="0.41666666666666663"/>
    <n v="1"/>
    <n v="3.64"/>
    <n v="3.64"/>
  </r>
  <r>
    <x v="19"/>
    <n v="1"/>
    <n v="8.3333333333333329E-2"/>
    <n v="5"/>
    <n v="0.41666666666666663"/>
    <n v="1"/>
    <n v="3.78"/>
    <n v="3.78"/>
  </r>
  <r>
    <x v="20"/>
    <n v="1"/>
    <n v="0.05"/>
    <n v="5"/>
    <n v="0.25"/>
    <n v="1"/>
    <n v="2.34"/>
    <n v="2.34"/>
  </r>
  <r>
    <x v="21"/>
    <n v="1"/>
    <n v="0.05"/>
    <n v="5"/>
    <n v="0.25"/>
    <n v="1"/>
    <n v="2.92"/>
    <n v="2.92"/>
  </r>
  <r>
    <x v="8"/>
    <n v="1"/>
    <n v="0.125"/>
    <n v="5"/>
    <n v="0.625"/>
    <n v="1"/>
    <n v="2.93"/>
    <n v="2.93"/>
  </r>
  <r>
    <x v="22"/>
    <n v="2"/>
    <n v="0.33333333333333331"/>
    <n v="5"/>
    <n v="1.6666666666666665"/>
    <n v="2"/>
    <n v="5.98"/>
    <n v="11.96"/>
  </r>
  <r>
    <x v="8"/>
    <n v="2"/>
    <n v="0.25"/>
    <n v="5"/>
    <n v="1.25"/>
    <n v="2"/>
    <n v="2.93"/>
    <n v="5.86"/>
  </r>
  <r>
    <x v="23"/>
    <n v="2"/>
    <n v="0.125"/>
    <n v="5"/>
    <n v="0.625"/>
    <n v="1"/>
    <n v="3.97"/>
    <n v="3.97"/>
  </r>
  <r>
    <x v="24"/>
    <n v="2"/>
    <n v="0.16"/>
    <n v="5"/>
    <n v="0.8"/>
    <n v="1"/>
    <n v="1.48"/>
    <n v="1.48"/>
  </r>
  <r>
    <x v="25"/>
    <n v="2"/>
    <n v="0.5"/>
    <n v="5"/>
    <n v="2.5"/>
    <n v="3"/>
    <n v="0.91"/>
    <n v="2.73"/>
  </r>
  <r>
    <x v="26"/>
    <n v="2"/>
    <n v="6.25E-2"/>
    <n v="5"/>
    <n v="0.3125"/>
    <n v="1"/>
    <n v="2.98"/>
    <n v="2.98"/>
  </r>
  <r>
    <x v="27"/>
    <n v="2"/>
    <n v="6.25E-2"/>
    <n v="5"/>
    <n v="0.3125"/>
    <n v="1"/>
    <n v="1.56"/>
    <n v="1.56"/>
  </r>
  <r>
    <x v="28"/>
    <n v="2"/>
    <n v="0.5"/>
    <n v="5"/>
    <n v="2.5"/>
    <n v="3"/>
    <n v="3.86"/>
    <n v="11.58"/>
  </r>
  <r>
    <x v="29"/>
    <n v="2"/>
    <n v="0.5"/>
    <n v="5"/>
    <n v="2.5"/>
    <n v="3"/>
    <n v="2.2799999999999998"/>
    <n v="6.84"/>
  </r>
  <r>
    <x v="27"/>
    <n v="2"/>
    <n v="6.25E-2"/>
    <n v="5"/>
    <n v="0.3125"/>
    <n v="1"/>
    <n v="1.56"/>
    <n v="1.56"/>
  </r>
  <r>
    <x v="30"/>
    <n v="1"/>
    <n v="1"/>
    <n v="5"/>
    <n v="5"/>
    <n v="5"/>
    <n v="1.78"/>
    <n v="8.9"/>
  </r>
  <r>
    <x v="31"/>
    <n v="1"/>
    <n v="0.05"/>
    <n v="5"/>
    <n v="0.25"/>
    <n v="1"/>
    <n v="2.56"/>
    <n v="2.56"/>
  </r>
  <r>
    <x v="8"/>
    <n v="3"/>
    <n v="0.1875"/>
    <n v="5"/>
    <n v="0.9375"/>
    <n v="1"/>
    <n v="2.93"/>
    <n v="2.93"/>
  </r>
  <r>
    <x v="23"/>
    <n v="3"/>
    <n v="0.1875"/>
    <n v="5"/>
    <n v="0.9375"/>
    <n v="1"/>
    <n v="3.97"/>
    <n v="3.97"/>
  </r>
  <r>
    <x v="32"/>
    <n v="3"/>
    <n v="9.375E-2"/>
    <n v="5"/>
    <n v="0.46875"/>
    <n v="1"/>
    <n v="2.98"/>
    <n v="2.98"/>
  </r>
  <r>
    <x v="33"/>
    <n v="1"/>
    <n v="0.5"/>
    <n v="5"/>
    <n v="2.5"/>
    <n v="3"/>
    <n v="0.98"/>
    <n v="2.94"/>
  </r>
  <r>
    <x v="34"/>
    <n v="1"/>
    <n v="1.5625E-2"/>
    <n v="5"/>
    <n v="7.8125E-2"/>
    <n v="1"/>
    <n v="3.07"/>
    <n v="3.07"/>
  </r>
  <r>
    <x v="32"/>
    <n v="1"/>
    <n v="6.25E-2"/>
    <n v="5"/>
    <n v="0.3125"/>
    <n v="1"/>
    <n v="2.98"/>
    <n v="2.98"/>
  </r>
  <r>
    <x v="35"/>
    <n v="0"/>
    <n v="0"/>
    <n v="5"/>
    <n v="0"/>
    <n v="0"/>
    <n v="4.29"/>
    <n v="0"/>
  </r>
  <r>
    <x v="23"/>
    <n v="0"/>
    <n v="0"/>
    <n v="5"/>
    <n v="0"/>
    <n v="0"/>
    <n v="3.97"/>
    <n v="0"/>
  </r>
  <r>
    <x v="36"/>
    <n v="0"/>
    <n v="0"/>
    <n v="5"/>
    <n v="0"/>
    <n v="0"/>
    <n v="2.2799999999999998"/>
    <n v="0"/>
  </r>
  <r>
    <x v="24"/>
    <n v="0"/>
    <n v="0"/>
    <n v="5"/>
    <n v="0"/>
    <n v="0"/>
    <n v="1.48"/>
    <n v="0"/>
  </r>
  <r>
    <x v="25"/>
    <n v="0"/>
    <n v="0"/>
    <n v="5"/>
    <n v="0"/>
    <n v="0"/>
    <n v="0.91"/>
    <n v="0"/>
  </r>
  <r>
    <x v="26"/>
    <n v="0"/>
    <n v="0"/>
    <n v="5"/>
    <n v="0"/>
    <n v="0"/>
    <n v="2.98"/>
    <n v="0"/>
  </r>
  <r>
    <x v="37"/>
    <n v="0"/>
    <n v="0"/>
    <n v="5"/>
    <n v="0"/>
    <n v="0"/>
    <n v="2.88"/>
    <n v="0"/>
  </r>
  <r>
    <x v="38"/>
    <n v="1"/>
    <n v="0.33"/>
    <n v="5"/>
    <n v="1.6500000000000001"/>
    <n v="2"/>
    <n v="4.88"/>
    <n v="9.76"/>
  </r>
  <r>
    <x v="39"/>
    <n v="1"/>
    <n v="0.4"/>
    <n v="5"/>
    <n v="2"/>
    <n v="2"/>
    <n v="4.93"/>
    <n v="9.86"/>
  </r>
  <r>
    <x v="40"/>
    <n v="1"/>
    <n v="0.2"/>
    <n v="5"/>
    <n v="1"/>
    <n v="1"/>
    <n v="2.88"/>
    <n v="2.88"/>
  </r>
  <r>
    <x v="41"/>
    <n v="1"/>
    <n v="3.125E-2"/>
    <n v="5"/>
    <n v="0.15625"/>
    <n v="1"/>
    <n v="2.67"/>
    <n v="2.67"/>
  </r>
  <r>
    <x v="42"/>
    <n v="1"/>
    <n v="0.125"/>
    <n v="5"/>
    <n v="0.625"/>
    <n v="1"/>
    <n v="5.44"/>
    <n v="5.44"/>
  </r>
  <r>
    <x v="43"/>
    <n v="1"/>
    <n v="0.125"/>
    <n v="5"/>
    <n v="0.625"/>
    <n v="1"/>
    <n v="2.2799999999999998"/>
    <n v="2.2799999999999998"/>
  </r>
  <r>
    <x v="25"/>
    <n v="1"/>
    <n v="0.25"/>
    <n v="5"/>
    <n v="1.25"/>
    <n v="2"/>
    <n v="0.91"/>
    <n v="1.82"/>
  </r>
  <r>
    <x v="24"/>
    <n v="1"/>
    <n v="0.08"/>
    <n v="5"/>
    <n v="0.4"/>
    <n v="1"/>
    <n v="1.48"/>
    <n v="1.48"/>
  </r>
  <r>
    <x v="44"/>
    <n v="1"/>
    <n v="0.05"/>
    <n v="5"/>
    <n v="0.25"/>
    <n v="1"/>
    <n v="1.98"/>
    <n v="1.98"/>
  </r>
  <r>
    <x v="45"/>
    <n v="1"/>
    <n v="3.125E-2"/>
    <n v="5"/>
    <n v="0.15625"/>
    <n v="1"/>
    <n v="1.98"/>
    <n v="1.98"/>
  </r>
  <r>
    <x v="35"/>
    <n v="1"/>
    <n v="0.125"/>
    <n v="5"/>
    <n v="0.625"/>
    <n v="1"/>
    <n v="4.29"/>
    <n v="4.29"/>
  </r>
  <r>
    <x v="43"/>
    <n v="1"/>
    <n v="0.125"/>
    <n v="5"/>
    <n v="0.625"/>
    <n v="1"/>
    <n v="2.2799999999999998"/>
    <n v="2.2799999999999998"/>
  </r>
  <r>
    <x v="25"/>
    <n v="1"/>
    <n v="0.25"/>
    <n v="5"/>
    <n v="1.25"/>
    <n v="2"/>
    <n v="0.91"/>
    <n v="1.82"/>
  </r>
  <r>
    <x v="24"/>
    <n v="1"/>
    <n v="0.08"/>
    <n v="5"/>
    <n v="0.4"/>
    <n v="1"/>
    <n v="1.48"/>
    <n v="1.48"/>
  </r>
  <r>
    <x v="44"/>
    <n v="1"/>
    <n v="0.05"/>
    <n v="5"/>
    <n v="0.25"/>
    <n v="1"/>
    <n v="1.98"/>
    <n v="1.98"/>
  </r>
  <r>
    <x v="45"/>
    <n v="1"/>
    <n v="3.125E-2"/>
    <n v="5"/>
    <n v="0.15625"/>
    <n v="1"/>
    <n v="1.98"/>
    <n v="1.98"/>
  </r>
  <r>
    <x v="46"/>
    <n v="0"/>
    <n v="0"/>
    <n v="5"/>
    <n v="0"/>
    <n v="0"/>
    <n v="0.98"/>
    <n v="0"/>
  </r>
  <r>
    <x v="35"/>
    <n v="0"/>
    <n v="0"/>
    <n v="5"/>
    <n v="0"/>
    <n v="0"/>
    <n v="4.29"/>
    <n v="0"/>
  </r>
  <r>
    <x v="47"/>
    <n v="0"/>
    <n v="0"/>
    <n v="5"/>
    <n v="0"/>
    <n v="0"/>
    <n v="1.88"/>
    <n v="0"/>
  </r>
  <r>
    <x v="41"/>
    <n v="0"/>
    <n v="0"/>
    <n v="5"/>
    <n v="0"/>
    <n v="0"/>
    <n v="2.67"/>
    <n v="0"/>
  </r>
  <r>
    <x v="48"/>
    <n v="0"/>
    <n v="0"/>
    <n v="5"/>
    <n v="0"/>
    <n v="0"/>
    <n v="1.34"/>
    <n v="0"/>
  </r>
  <r>
    <x v="49"/>
    <n v="0"/>
    <n v="0"/>
    <n v="5"/>
    <n v="0"/>
    <n v="0"/>
    <n v="2.68"/>
    <n v="0"/>
  </r>
  <r>
    <x v="50"/>
    <n v="0"/>
    <n v="0"/>
    <n v="5"/>
    <n v="0"/>
    <n v="0"/>
    <n v="8.85"/>
    <n v="0"/>
  </r>
  <r>
    <x v="51"/>
    <n v="0"/>
    <n v="0"/>
    <n v="5"/>
    <n v="0"/>
    <n v="0"/>
    <n v="5.99"/>
    <n v="0"/>
  </r>
  <r>
    <x v="35"/>
    <n v="1"/>
    <n v="1"/>
    <n v="5"/>
    <n v="5"/>
    <n v="5"/>
    <n v="4.29"/>
    <n v="21.45"/>
  </r>
  <r>
    <x v="52"/>
    <n v="0"/>
    <n v="0"/>
    <n v="5"/>
    <n v="0"/>
    <n v="0"/>
    <n v="11.47"/>
    <n v="0"/>
  </r>
  <r>
    <x v="53"/>
    <n v="1"/>
    <n v="1"/>
    <n v="5"/>
    <n v="5"/>
    <n v="5"/>
    <n v="5.66"/>
    <n v="28.3"/>
  </r>
  <r>
    <x v="54"/>
    <n v="0"/>
    <n v="0"/>
    <n v="5"/>
    <n v="0"/>
    <n v="0"/>
    <n v="4.78"/>
    <n v="0"/>
  </r>
  <r>
    <x v="55"/>
    <n v="0"/>
    <n v="0"/>
    <n v="5"/>
    <n v="0"/>
    <n v="0"/>
    <n v="6.94"/>
    <n v="0"/>
  </r>
  <r>
    <x v="56"/>
    <n v="0"/>
    <n v="0"/>
    <n v="5"/>
    <n v="0"/>
    <n v="0"/>
    <n v="11.97"/>
    <n v="0"/>
  </r>
  <r>
    <x v="24"/>
    <n v="2"/>
    <n v="0.8"/>
    <n v="5"/>
    <n v="4"/>
    <n v="4"/>
    <n v="1.48"/>
    <n v="5.92"/>
  </r>
  <r>
    <x v="25"/>
    <n v="2"/>
    <n v="0.5"/>
    <n v="5"/>
    <n v="2.5"/>
    <n v="3"/>
    <n v="0.91"/>
    <n v="2.73"/>
  </r>
  <r>
    <x v="57"/>
    <n v="2"/>
    <n v="0.1"/>
    <n v="5"/>
    <n v="0.5"/>
    <n v="1"/>
    <n v="1.98"/>
    <n v="1.98"/>
  </r>
  <r>
    <x v="58"/>
    <n v="2"/>
    <n v="0.2"/>
    <n v="5"/>
    <n v="1"/>
    <n v="1"/>
    <n v="0.78"/>
    <n v="0.78"/>
  </r>
  <r>
    <x v="59"/>
    <n v="2"/>
    <n v="0.16666666666666666"/>
    <n v="5"/>
    <n v="0.83333333333333326"/>
    <n v="1"/>
    <n v="0.92"/>
    <n v="0.92"/>
  </r>
  <r>
    <x v="60"/>
    <n v="0"/>
    <n v="0"/>
    <n v="5"/>
    <n v="0"/>
    <n v="0"/>
    <n v="1.3033333333333335"/>
    <n v="0"/>
  </r>
  <r>
    <x v="61"/>
    <n v="0"/>
    <n v="0"/>
    <n v="5"/>
    <n v="0"/>
    <n v="0"/>
    <n v="0.92"/>
    <n v="0"/>
  </r>
  <r>
    <x v="62"/>
    <n v="0"/>
    <n v="0"/>
    <n v="5"/>
    <n v="0"/>
    <n v="0"/>
    <n v="0.92"/>
    <n v="0"/>
  </r>
  <r>
    <x v="63"/>
    <n v="0"/>
    <n v="0"/>
    <n v="5"/>
    <n v="0"/>
    <n v="0"/>
    <n v="0.98"/>
    <n v="0"/>
  </r>
  <r>
    <x v="64"/>
    <n v="0"/>
    <n v="0"/>
    <n v="5"/>
    <n v="0"/>
    <n v="0"/>
    <n v="1.98"/>
    <n v="0"/>
  </r>
  <r>
    <x v="65"/>
    <n v="0"/>
    <n v="0"/>
    <n v="5"/>
    <n v="0"/>
    <n v="0"/>
    <n v="1.83"/>
    <n v="0"/>
  </r>
  <r>
    <x v="44"/>
    <n v="0"/>
    <n v="0"/>
    <n v="5"/>
    <n v="0"/>
    <n v="0"/>
    <n v="1.98"/>
    <n v="0"/>
  </r>
  <r>
    <x v="66"/>
    <n v="0"/>
    <n v="0"/>
    <n v="5"/>
    <n v="0"/>
    <n v="0"/>
    <n v="2.13"/>
    <n v="0"/>
  </r>
  <r>
    <x v="67"/>
    <n v="0"/>
    <n v="0"/>
    <n v="5"/>
    <n v="0"/>
    <n v="0"/>
    <n v="3.58"/>
    <n v="0"/>
  </r>
  <r>
    <x v="58"/>
    <n v="0"/>
    <n v="0"/>
    <n v="5"/>
    <n v="0"/>
    <n v="0"/>
    <n v="0.78"/>
    <n v="0"/>
  </r>
  <r>
    <x v="68"/>
    <n v="0"/>
    <n v="0"/>
    <n v="5"/>
    <n v="0"/>
    <n v="0"/>
    <n v="1.6"/>
    <n v="0"/>
  </r>
  <r>
    <x v="69"/>
    <n v="1"/>
    <n v="0.5"/>
    <n v="5"/>
    <n v="2.5"/>
    <n v="3"/>
    <n v="1.98"/>
    <n v="5.9399999999999995"/>
  </r>
  <r>
    <x v="70"/>
    <n v="1"/>
    <n v="0.33"/>
    <n v="5"/>
    <n v="1.6500000000000001"/>
    <n v="2"/>
    <n v="1.22"/>
    <n v="2.44"/>
  </r>
  <r>
    <x v="71"/>
    <n v="1"/>
    <n v="0.8"/>
    <n v="5"/>
    <n v="4"/>
    <n v="4"/>
    <n v="2.96"/>
    <n v="11.84"/>
  </r>
  <r>
    <x v="72"/>
    <n v="2"/>
    <n v="0.7"/>
    <n v="5"/>
    <n v="3.5"/>
    <n v="4"/>
    <n v="1.98"/>
    <n v="7.92"/>
  </r>
  <r>
    <x v="73"/>
    <n v="1"/>
    <n v="0.5"/>
    <n v="5"/>
    <n v="2.5"/>
    <n v="3"/>
    <n v="1.94"/>
    <n v="5.82"/>
  </r>
  <r>
    <x v="63"/>
    <n v="1"/>
    <n v="0.5"/>
    <n v="5"/>
    <n v="2.5"/>
    <n v="3"/>
    <n v="0.98"/>
    <n v="2.94"/>
  </r>
  <r>
    <x v="74"/>
    <n v="1"/>
    <n v="0.3"/>
    <n v="5"/>
    <n v="1.5"/>
    <n v="2"/>
    <n v="1.18"/>
    <n v="2.36"/>
  </r>
  <r>
    <x v="75"/>
    <n v="0"/>
    <n v="0"/>
    <n v="5"/>
    <n v="0"/>
    <n v="0"/>
    <n v="0.7"/>
    <n v="0"/>
  </r>
  <r>
    <x v="76"/>
    <n v="1"/>
    <n v="0.1"/>
    <n v="5"/>
    <n v="0.5"/>
    <n v="1"/>
    <n v="4.82"/>
    <n v="4.82"/>
  </r>
  <r>
    <x v="77"/>
    <n v="1"/>
    <n v="0.1"/>
    <n v="5"/>
    <n v="0.5"/>
    <n v="1"/>
    <n v="2.97"/>
    <n v="2.97"/>
  </r>
  <r>
    <x v="78"/>
    <n v="1"/>
    <n v="8.3333333333333329E-2"/>
    <n v="5"/>
    <n v="0.41666666666666663"/>
    <n v="1"/>
    <n v="2.97"/>
    <n v="2.97"/>
  </r>
  <r>
    <x v="79"/>
    <n v="1"/>
    <n v="8.3333333333333329E-2"/>
    <n v="5"/>
    <n v="0.41666666666666663"/>
    <n v="1"/>
    <n v="3.97"/>
    <n v="3.97"/>
  </r>
  <r>
    <x v="80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67618C-9D0B-4817-BFE4-5BA40A14E56D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Shopping List">
  <location ref="B1:D82" firstHeaderRow="0" firstDataRow="1" firstDataCol="1"/>
  <pivotFields count="8">
    <pivotField axis="axisRow" showAll="0" sortType="ascending">
      <items count="82">
        <item x="49"/>
        <item x="2"/>
        <item x="69"/>
        <item x="13"/>
        <item x="65"/>
        <item x="3"/>
        <item x="14"/>
        <item x="33"/>
        <item x="8"/>
        <item x="70"/>
        <item x="61"/>
        <item x="32"/>
        <item x="74"/>
        <item x="30"/>
        <item x="73"/>
        <item x="18"/>
        <item x="10"/>
        <item x="55"/>
        <item x="42"/>
        <item x="60"/>
        <item x="1"/>
        <item x="51"/>
        <item x="11"/>
        <item x="76"/>
        <item x="31"/>
        <item x="78"/>
        <item x="59"/>
        <item x="12"/>
        <item x="48"/>
        <item x="71"/>
        <item x="0"/>
        <item x="6"/>
        <item x="19"/>
        <item x="15"/>
        <item x="35"/>
        <item x="36"/>
        <item x="68"/>
        <item x="29"/>
        <item x="28"/>
        <item x="77"/>
        <item x="24"/>
        <item x="21"/>
        <item x="37"/>
        <item x="66"/>
        <item x="26"/>
        <item x="34"/>
        <item x="27"/>
        <item x="5"/>
        <item x="52"/>
        <item x="58"/>
        <item x="4"/>
        <item x="16"/>
        <item x="41"/>
        <item x="20"/>
        <item x="40"/>
        <item x="38"/>
        <item x="9"/>
        <item x="79"/>
        <item x="54"/>
        <item x="63"/>
        <item x="62"/>
        <item x="56"/>
        <item x="72"/>
        <item x="50"/>
        <item x="45"/>
        <item x="67"/>
        <item x="57"/>
        <item x="44"/>
        <item x="53"/>
        <item x="23"/>
        <item x="22"/>
        <item x="64"/>
        <item x="46"/>
        <item x="47"/>
        <item x="75"/>
        <item x="25"/>
        <item x="39"/>
        <item x="43"/>
        <item x="17"/>
        <item x="7"/>
        <item x="80"/>
        <item t="default"/>
      </items>
    </pivotField>
    <pivotField showAll="0"/>
    <pivotField showAll="0"/>
    <pivotField showAll="0"/>
    <pivotField showAll="0"/>
    <pivotField dataField="1" showAll="0"/>
    <pivotField numFmtId="164" showAll="0"/>
    <pivotField dataField="1" showAll="0"/>
  </pivotFields>
  <rowFields count="1">
    <field x="0"/>
  </rowFields>
  <rowItems count="8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</rowItems>
  <colFields count="1">
    <field x="-2"/>
  </colFields>
  <colItems count="2">
    <i>
      <x/>
    </i>
    <i i="1">
      <x v="1"/>
    </i>
  </colItems>
  <dataFields count="2">
    <dataField name="Sum of ROUNDUP" fld="5" baseField="0" baseItem="0"/>
    <dataField name="Sum of Total Grocery Store Price" fld="7" baseField="0" baseItem="0" numFmtId="164"/>
  </dataFields>
  <formats count="55"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0" type="button" dataOnly="0" labelOnly="1" outline="0" axis="axisRow" fieldPosition="0"/>
    </format>
    <format dxfId="52">
      <pivotArea dataOnly="0" labelOnly="1" fieldPosition="0">
        <references count="1">
          <reference field="0" count="4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</reference>
        </references>
      </pivotArea>
    </format>
    <format dxfId="51">
      <pivotArea dataOnly="0" labelOnly="1" fieldPosition="0">
        <references count="1">
          <reference field="0" count="29"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7"/>
            <x v="68"/>
            <x v="69"/>
            <x v="70"/>
            <x v="71"/>
            <x v="72"/>
            <x v="73"/>
            <x v="75"/>
            <x v="76"/>
            <x v="77"/>
            <x v="78"/>
            <x v="79"/>
          </reference>
        </references>
      </pivotArea>
    </format>
    <format dxfId="50">
      <pivotArea dataOnly="0" labelOnly="1" grandRow="1" outline="0" fieldPosition="0"/>
    </format>
    <format dxfId="49">
      <pivotArea dataOnly="0" labelOnly="1" outline="0" axis="axisValues" fieldPosition="0"/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0" type="button" dataOnly="0" labelOnly="1" outline="0" axis="axisRow" fieldPosition="0"/>
    </format>
    <format dxfId="45">
      <pivotArea dataOnly="0" labelOnly="1" fieldPosition="0">
        <references count="1">
          <reference field="0" count="4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</reference>
        </references>
      </pivotArea>
    </format>
    <format dxfId="44">
      <pivotArea dataOnly="0" labelOnly="1" fieldPosition="0">
        <references count="1">
          <reference field="0" count="29"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7"/>
            <x v="68"/>
            <x v="69"/>
            <x v="70"/>
            <x v="71"/>
            <x v="72"/>
            <x v="73"/>
            <x v="75"/>
            <x v="76"/>
            <x v="77"/>
            <x v="78"/>
            <x v="79"/>
          </reference>
        </references>
      </pivotArea>
    </format>
    <format dxfId="43">
      <pivotArea dataOnly="0" labelOnly="1" grandRow="1" outline="0" fieldPosition="0"/>
    </format>
    <format dxfId="42">
      <pivotArea dataOnly="0" labelOnly="1" outline="0" axis="axisValues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0" type="button" dataOnly="0" labelOnly="1" outline="0" axis="axisRow" fieldPosition="0"/>
    </format>
    <format dxfId="38">
      <pivotArea dataOnly="0" labelOnly="1" fieldPosition="0">
        <references count="1">
          <reference field="0" count="4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</reference>
        </references>
      </pivotArea>
    </format>
    <format dxfId="37">
      <pivotArea dataOnly="0" labelOnly="1" fieldPosition="0">
        <references count="1">
          <reference field="0" count="29"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7"/>
            <x v="68"/>
            <x v="69"/>
            <x v="70"/>
            <x v="71"/>
            <x v="72"/>
            <x v="73"/>
            <x v="75"/>
            <x v="76"/>
            <x v="77"/>
            <x v="78"/>
            <x v="79"/>
          </reference>
        </references>
      </pivotArea>
    </format>
    <format dxfId="36">
      <pivotArea dataOnly="0" labelOnly="1" grandRow="1" outline="0" fieldPosition="0"/>
    </format>
    <format dxfId="35">
      <pivotArea dataOnly="0" labelOnly="1" outline="0" axis="axisValues" fieldPosition="0"/>
    </format>
    <format dxfId="34">
      <pivotArea collapsedLevelsAreSubtotals="1" fieldPosition="0">
        <references count="1">
          <reference field="0" count="0"/>
        </references>
      </pivotArea>
    </format>
    <format dxfId="33">
      <pivotArea field="0" type="button" dataOnly="0" labelOnly="1" outline="0" axis="axisRow" fieldPosition="0"/>
    </format>
    <format dxfId="32">
      <pivotArea dataOnly="0" labelOnly="1" fieldPosition="0">
        <references count="1">
          <reference field="0" count="4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</reference>
        </references>
      </pivotArea>
    </format>
    <format dxfId="31">
      <pivotArea dataOnly="0" labelOnly="1" fieldPosition="0">
        <references count="1">
          <reference field="0" count="29"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7"/>
            <x v="68"/>
            <x v="69"/>
            <x v="70"/>
            <x v="71"/>
            <x v="72"/>
            <x v="73"/>
            <x v="75"/>
            <x v="76"/>
            <x v="77"/>
            <x v="78"/>
            <x v="79"/>
          </reference>
        </references>
      </pivotArea>
    </format>
    <format dxfId="30">
      <pivotArea dataOnly="0" labelOnly="1" outline="0" axis="axisValues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0" type="button" dataOnly="0" labelOnly="1" outline="0" axis="axisRow" fieldPosition="0"/>
    </format>
    <format dxfId="26">
      <pivotArea dataOnly="0" labelOnly="1" fieldPosition="0">
        <references count="1">
          <reference field="0" count="4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</reference>
        </references>
      </pivotArea>
    </format>
    <format dxfId="25">
      <pivotArea dataOnly="0" labelOnly="1" fieldPosition="0">
        <references count="1">
          <reference field="0" count="29"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7"/>
            <x v="68"/>
            <x v="69"/>
            <x v="70"/>
            <x v="71"/>
            <x v="72"/>
            <x v="73"/>
            <x v="75"/>
            <x v="76"/>
            <x v="77"/>
            <x v="78"/>
            <x v="79"/>
          </reference>
        </references>
      </pivotArea>
    </format>
    <format dxfId="24">
      <pivotArea dataOnly="0" labelOnly="1" outline="0" axis="axisValues" fieldPosition="0"/>
    </format>
    <format dxfId="23">
      <pivotArea field="0" type="button" dataOnly="0" labelOnly="1" outline="0" axis="axisRow" fieldPosition="0"/>
    </format>
    <format dxfId="22">
      <pivotArea field="0" type="button" dataOnly="0" labelOnly="1" outline="0" axis="axisRow" fieldPosition="0"/>
    </format>
    <format dxfId="21">
      <pivotArea field="0" type="button" dataOnly="0" labelOnly="1" outline="0" axis="axisRow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8">
      <pivotArea dataOnly="0" labelOnly="1" fieldPosition="0">
        <references count="1">
          <reference field="0" count="3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">
      <pivotArea field="0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">
      <pivotArea collapsedLevelsAreSubtotals="1" fieldPosition="0">
        <references count="1">
          <reference field="0" count="18"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</reference>
        </references>
      </pivotArea>
    </format>
    <format dxfId="11">
      <pivotArea dataOnly="0" labelOnly="1" fieldPosition="0">
        <references count="1">
          <reference field="0" count="18"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</reference>
        </references>
      </pivotArea>
    </format>
    <format dxfId="10">
      <pivotArea outline="0" fieldPosition="0">
        <references count="1">
          <reference field="4294967294" count="1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">
      <pivotArea field="0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">
      <pivotArea field="0" type="button" dataOnly="0" labelOnly="1" outline="0" axis="axisRow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field="0" type="button" dataOnly="0" labelOnly="1" outline="0" axis="axisRow" fieldPosition="0"/>
    </format>
    <format dxfId="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0">
      <pivotArea dataOnly="0" labelOnly="1" fieldPosition="0">
        <references count="1">
          <reference field="0" count="31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</reference>
        </references>
      </pivotArea>
    </format>
  </formats>
  <pivotTableStyleInfo name="PivotStyleDark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9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159FD-7F65-423F-9BD7-FF45362A01A8}">
  <sheetPr codeName="Sheet1"/>
  <dimension ref="A1"/>
  <sheetViews>
    <sheetView workbookViewId="0">
      <selection activeCell="F19" sqref="F19"/>
    </sheetView>
  </sheetViews>
  <sheetFormatPr defaultRowHeight="15" x14ac:dyDescent="0.25"/>
  <cols>
    <col min="1" max="16384" width="9.140625" style="67"/>
  </cols>
  <sheetData/>
  <customSheetViews>
    <customSheetView guid="{45A1D012-B874-4DD8-9662-AFBB0284400B}">
      <selection activeCell="E23" sqref="E23"/>
      <pageMargins left="0.7" right="0.7" top="0.75" bottom="0.75" header="0.3" footer="0.3"/>
      <pageSetup orientation="portrait" horizontalDpi="4294967293" verticalDpi="0" r:id="rId1"/>
    </customSheetView>
  </customSheetViews>
  <pageMargins left="0.7" right="0.7" top="0.75" bottom="0.75" header="0.3" footer="0.3"/>
  <pageSetup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ForGrading_GetStarted_Click">
                <anchor moveWithCells="1" sizeWithCells="1">
                  <from>
                    <xdr:col>2</xdr:col>
                    <xdr:colOff>123825</xdr:colOff>
                    <xdr:row>3</xdr:row>
                    <xdr:rowOff>9525</xdr:rowOff>
                  </from>
                  <to>
                    <xdr:col>6</xdr:col>
                    <xdr:colOff>381000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9EF16-A4BE-4005-A361-C3161C7F335D}">
  <sheetPr codeName="Sheet3"/>
  <dimension ref="A1:Z51"/>
  <sheetViews>
    <sheetView tabSelected="1" workbookViewId="0">
      <selection activeCell="D8" sqref="D8"/>
    </sheetView>
  </sheetViews>
  <sheetFormatPr defaultRowHeight="15" x14ac:dyDescent="0.25"/>
  <cols>
    <col min="1" max="1" width="3.42578125" style="19" customWidth="1"/>
    <col min="2" max="2" width="17.7109375" customWidth="1"/>
    <col min="3" max="3" width="10" style="20" customWidth="1"/>
    <col min="4" max="4" width="17.7109375" customWidth="1"/>
    <col min="5" max="5" width="10" style="20" customWidth="1"/>
    <col min="6" max="6" width="17.7109375" customWidth="1"/>
    <col min="7" max="7" width="10" style="20" customWidth="1"/>
    <col min="8" max="8" width="17.7109375" customWidth="1"/>
    <col min="9" max="9" width="10" style="20" customWidth="1"/>
    <col min="10" max="10" width="17.7109375" customWidth="1"/>
    <col min="11" max="11" width="10" style="20" customWidth="1"/>
    <col min="12" max="12" width="17.7109375" customWidth="1"/>
    <col min="13" max="13" width="10" customWidth="1"/>
    <col min="14" max="14" width="17.7109375" customWidth="1"/>
    <col min="15" max="15" width="10" customWidth="1"/>
    <col min="16" max="25" width="9.140625" style="19"/>
    <col min="26" max="26" width="9.140625" style="60"/>
  </cols>
  <sheetData>
    <row r="1" spans="2:15" ht="62.25" customHeight="1" x14ac:dyDescent="0.25">
      <c r="B1" s="19"/>
      <c r="C1" s="52"/>
      <c r="D1" s="19"/>
      <c r="E1" s="52"/>
      <c r="F1" s="57"/>
      <c r="G1" s="69" t="s">
        <v>173</v>
      </c>
      <c r="H1" s="69"/>
      <c r="I1" s="57"/>
      <c r="J1" s="57"/>
      <c r="K1" s="52"/>
      <c r="L1" s="19"/>
      <c r="M1" s="19"/>
      <c r="N1" s="19"/>
      <c r="O1" s="19"/>
    </row>
    <row r="2" spans="2:15" ht="22.5" customHeight="1" x14ac:dyDescent="0.35">
      <c r="B2" s="68" t="s">
        <v>87</v>
      </c>
      <c r="C2" s="68"/>
      <c r="D2" s="68" t="s">
        <v>88</v>
      </c>
      <c r="E2" s="68"/>
      <c r="F2" s="68" t="s">
        <v>89</v>
      </c>
      <c r="G2" s="68"/>
      <c r="H2" s="68" t="s">
        <v>90</v>
      </c>
      <c r="I2" s="68"/>
      <c r="J2" s="68" t="s">
        <v>91</v>
      </c>
      <c r="K2" s="68"/>
      <c r="L2" s="68" t="s">
        <v>92</v>
      </c>
      <c r="M2" s="68"/>
      <c r="N2" s="68" t="s">
        <v>93</v>
      </c>
      <c r="O2" s="68"/>
    </row>
    <row r="3" spans="2:15" ht="22.5" customHeight="1" x14ac:dyDescent="0.25">
      <c r="B3" s="51" t="s">
        <v>23</v>
      </c>
      <c r="C3" s="53" t="s">
        <v>175</v>
      </c>
      <c r="D3" s="51" t="s">
        <v>23</v>
      </c>
      <c r="E3" s="53" t="s">
        <v>175</v>
      </c>
      <c r="F3" s="51" t="s">
        <v>23</v>
      </c>
      <c r="G3" s="53" t="s">
        <v>175</v>
      </c>
      <c r="H3" s="51" t="s">
        <v>23</v>
      </c>
      <c r="I3" s="53" t="s">
        <v>175</v>
      </c>
      <c r="J3" s="51" t="s">
        <v>23</v>
      </c>
      <c r="K3" s="53" t="s">
        <v>175</v>
      </c>
      <c r="L3" s="51" t="s">
        <v>23</v>
      </c>
      <c r="M3" s="51" t="s">
        <v>175</v>
      </c>
      <c r="N3" s="51" t="s">
        <v>23</v>
      </c>
      <c r="O3" s="51" t="s">
        <v>175</v>
      </c>
    </row>
    <row r="4" spans="2:15" ht="22.5" customHeight="1" x14ac:dyDescent="0.25">
      <c r="B4" s="2" t="s">
        <v>171</v>
      </c>
      <c r="C4" s="21">
        <f>IFERROR(VLOOKUP(B4,Meal_Counter!$B:$D,3,0)*NumberOfPeople,"")</f>
        <v>8.4489999999999998</v>
      </c>
      <c r="D4" s="2" t="s">
        <v>52</v>
      </c>
      <c r="E4" s="21">
        <f>IFERROR(VLOOKUP(D4,Meal_Counter!$B:$D,3,0)*NumberOfPeople,"")</f>
        <v>1.5749999999999997</v>
      </c>
      <c r="F4" s="2" t="s">
        <v>54</v>
      </c>
      <c r="G4" s="21">
        <f>IFERROR(VLOOKUP(F4,Meal_Counter!$B:$D,3,0)*NumberOfPeople,"")</f>
        <v>2.8916666666666666</v>
      </c>
      <c r="H4" s="2"/>
      <c r="I4" s="21" t="str">
        <f>IFERROR(VLOOKUP(H4,Meal_Counter!$B:$D,3,0)*NumberOfPeople,"")</f>
        <v/>
      </c>
      <c r="J4" s="2" t="s">
        <v>100</v>
      </c>
      <c r="K4" s="21">
        <f>IFERROR(VLOOKUP(J4,Meal_Counter!$B:$D,3,0)*NumberOfPeople,"")</f>
        <v>1.5166666666666666</v>
      </c>
      <c r="L4" s="2"/>
      <c r="M4" s="21" t="str">
        <f>IFERROR(VLOOKUP(L4,Meal_Counter!$B:$D,3,0)*NumberOfPeople,"")</f>
        <v/>
      </c>
      <c r="N4" s="2" t="s">
        <v>116</v>
      </c>
      <c r="O4" s="21">
        <f>IFERROR(VLOOKUP(N4,Meal_Counter!$B:$D,3,0)*NumberOfPeople,"")</f>
        <v>2.5</v>
      </c>
    </row>
    <row r="5" spans="2:15" ht="22.5" customHeight="1" x14ac:dyDescent="0.25">
      <c r="B5" s="2" t="s">
        <v>95</v>
      </c>
      <c r="C5" s="21">
        <f>IFERROR(VLOOKUP(B5,Meal_Counter!$B:$D,3,0)*NumberOfPeople,"")</f>
        <v>1.83125</v>
      </c>
      <c r="D5" s="2" t="s">
        <v>51</v>
      </c>
      <c r="E5" s="21">
        <f>IFERROR(VLOOKUP(D5,Meal_Counter!$B:$D,3,0)*NumberOfPeople,"")</f>
        <v>6.7</v>
      </c>
      <c r="F5" s="2" t="s">
        <v>80</v>
      </c>
      <c r="G5" s="21">
        <f>IFERROR(VLOOKUP(F5,Meal_Counter!$B:$D,3,0)*NumberOfPeople,"")</f>
        <v>2.4750000000000001</v>
      </c>
      <c r="H5" s="2" t="s">
        <v>101</v>
      </c>
      <c r="I5" s="21">
        <f>IFERROR(VLOOKUP(H5,Meal_Counter!$B:$D,3,0)*NumberOfPeople,"")</f>
        <v>2.5</v>
      </c>
      <c r="J5" s="2" t="s">
        <v>30</v>
      </c>
      <c r="K5" s="21">
        <f>IFERROR(VLOOKUP(J5,Meal_Counter!$B:$D,3,0)*NumberOfPeople,"")</f>
        <v>1.875</v>
      </c>
      <c r="L5" s="2" t="s">
        <v>95</v>
      </c>
      <c r="M5" s="21">
        <f>IFERROR(VLOOKUP(L5,Meal_Counter!$B:$D,3,0)*NumberOfPeople,"")</f>
        <v>1.83125</v>
      </c>
      <c r="N5" s="2" t="s">
        <v>171</v>
      </c>
      <c r="O5" s="21">
        <f>IFERROR(VLOOKUP(N5,Meal_Counter!$B:$D,3,0)*NumberOfPeople,"")</f>
        <v>8.4489999999999998</v>
      </c>
    </row>
    <row r="6" spans="2:15" ht="22.5" customHeight="1" x14ac:dyDescent="0.25">
      <c r="B6" s="2"/>
      <c r="C6" s="21" t="str">
        <f>IFERROR(VLOOKUP(B6,Meal_Counter!$B:$D,3,0)*NumberOfPeople,"")</f>
        <v/>
      </c>
      <c r="D6" s="2" t="s">
        <v>95</v>
      </c>
      <c r="E6" s="21">
        <f>IFERROR(VLOOKUP(D6,Meal_Counter!$B:$D,3,0)*NumberOfPeople,"")</f>
        <v>1.83125</v>
      </c>
      <c r="F6" s="2" t="s">
        <v>171</v>
      </c>
      <c r="G6" s="21">
        <f>IFERROR(VLOOKUP(F6,Meal_Counter!$B:$D,3,0)*NumberOfPeople,"")</f>
        <v>8.4489999999999998</v>
      </c>
      <c r="H6" s="2"/>
      <c r="I6" s="21" t="str">
        <f>IFERROR(VLOOKUP(H6,Meal_Counter!$B:$D,3,0)*NumberOfPeople,"")</f>
        <v/>
      </c>
      <c r="J6" s="2"/>
      <c r="K6" s="21" t="str">
        <f>IFERROR(VLOOKUP(J6,Meal_Counter!$B:$D,3,0)*NumberOfPeople,"")</f>
        <v/>
      </c>
      <c r="L6" s="2"/>
      <c r="M6" s="21" t="str">
        <f>IFERROR(VLOOKUP(L6,Meal_Counter!$B:$D,3,0)*NumberOfPeople,"")</f>
        <v/>
      </c>
      <c r="N6" s="2"/>
      <c r="O6" s="21" t="str">
        <f>IFERROR(VLOOKUP(N6,Meal_Counter!$B:$D,3,0)*NumberOfPeople,"")</f>
        <v/>
      </c>
    </row>
    <row r="7" spans="2:15" ht="22.5" customHeight="1" x14ac:dyDescent="0.25">
      <c r="B7" s="1" t="s">
        <v>24</v>
      </c>
      <c r="C7" s="1" t="str">
        <f>IFERROR(VLOOKUP(B7,Meal_Counter!$B:$D,3,0)*NumberOfPeople,"")</f>
        <v/>
      </c>
      <c r="D7" s="1" t="s">
        <v>24</v>
      </c>
      <c r="E7" s="22" t="str">
        <f>IFERROR(VLOOKUP(D7,Meal_Counter!$B:$D,3,0)*NumberOfPeople,"")</f>
        <v/>
      </c>
      <c r="F7" s="1" t="s">
        <v>24</v>
      </c>
      <c r="G7" s="22" t="str">
        <f>IFERROR(VLOOKUP(F7,Meal_Counter!$B:$D,3,0)*NumberOfPeople,"")</f>
        <v/>
      </c>
      <c r="H7" s="1" t="s">
        <v>24</v>
      </c>
      <c r="I7" s="22" t="str">
        <f>IFERROR(VLOOKUP(H7,Meal_Counter!$B:$D,3,0)*NumberOfPeople,"")</f>
        <v/>
      </c>
      <c r="J7" s="1" t="s">
        <v>24</v>
      </c>
      <c r="K7" s="22" t="str">
        <f>IFERROR(VLOOKUP(J7,Meal_Counter!$B:$D,3,0)*NumberOfPeople,"")</f>
        <v/>
      </c>
      <c r="L7" s="1" t="s">
        <v>24</v>
      </c>
      <c r="M7" s="22" t="str">
        <f>IFERROR(VLOOKUP(L7,Meal_Counter!$B:$D,3,0)*NumberOfPeople,"")</f>
        <v/>
      </c>
      <c r="N7" s="1" t="s">
        <v>24</v>
      </c>
      <c r="O7" s="22" t="str">
        <f>IFERROR(VLOOKUP(N7,Meal_Counter!$B:$D,3,0)*NumberOfPeople,"")</f>
        <v/>
      </c>
    </row>
    <row r="8" spans="2:15" ht="22.5" customHeight="1" x14ac:dyDescent="0.25">
      <c r="B8" s="2" t="s">
        <v>151</v>
      </c>
      <c r="C8" s="21">
        <f>IFERROR(VLOOKUP(B8,Meal_Counter!$B:$D,3,0)*NumberOfPeople,"")</f>
        <v>18.666666666666668</v>
      </c>
      <c r="D8" s="2" t="s">
        <v>150</v>
      </c>
      <c r="E8" s="21">
        <f>IFERROR(VLOOKUP(D8,Meal_Counter!$B:$D,3,0)*NumberOfPeople,"")</f>
        <v>5.625</v>
      </c>
      <c r="F8" s="2" t="s">
        <v>102</v>
      </c>
      <c r="G8" s="21">
        <f>IFERROR(VLOOKUP(F8,Meal_Counter!$B:$D,3,0)*NumberOfPeople,"")</f>
        <v>26.25</v>
      </c>
      <c r="H8" s="2" t="s">
        <v>28</v>
      </c>
      <c r="I8" s="21">
        <f>IFERROR(VLOOKUP(H8,Meal_Counter!$B:$D,3,0)*NumberOfPeople,"")</f>
        <v>3.90625</v>
      </c>
      <c r="J8" s="2" t="s">
        <v>28</v>
      </c>
      <c r="K8" s="21">
        <f>IFERROR(VLOOKUP(J8,Meal_Counter!$B:$D,3,0)*NumberOfPeople,"")</f>
        <v>3.90625</v>
      </c>
      <c r="L8" s="2"/>
      <c r="M8" s="21" t="str">
        <f>IFERROR(VLOOKUP(L8,Meal_Counter!$B:$D,3,0)*NumberOfPeople,"")</f>
        <v/>
      </c>
      <c r="N8" s="2" t="s">
        <v>28</v>
      </c>
      <c r="O8" s="21">
        <f>IFERROR(VLOOKUP(N8,Meal_Counter!$B:$D,3,0)*NumberOfPeople,"")</f>
        <v>3.90625</v>
      </c>
    </row>
    <row r="9" spans="2:15" ht="22.5" customHeight="1" x14ac:dyDescent="0.25">
      <c r="B9" s="2"/>
      <c r="C9" s="21" t="str">
        <f>IFERROR(VLOOKUP(B9,Meal_Counter!$B:$D,3,0)*NumberOfPeople,"")</f>
        <v/>
      </c>
      <c r="D9" s="2" t="s">
        <v>27</v>
      </c>
      <c r="E9" s="21">
        <f>IFERROR(VLOOKUP(D9,Meal_Counter!$B:$D,3,0)*NumberOfPeople,"")</f>
        <v>13.28125</v>
      </c>
      <c r="F9" s="2" t="s">
        <v>27</v>
      </c>
      <c r="G9" s="21">
        <f>IFERROR(VLOOKUP(F9,Meal_Counter!$B:$D,3,0)*NumberOfPeople,"")</f>
        <v>13.28125</v>
      </c>
      <c r="H9" s="2" t="s">
        <v>78</v>
      </c>
      <c r="I9" s="21">
        <f>IFERROR(VLOOKUP(H9,Meal_Counter!$B:$D,3,0)*NumberOfPeople,"")</f>
        <v>14.453125</v>
      </c>
      <c r="J9" s="2"/>
      <c r="K9" s="21" t="str">
        <f>IFERROR(VLOOKUP(J9,Meal_Counter!$B:$D,3,0)*NumberOfPeople,"")</f>
        <v/>
      </c>
      <c r="L9" s="2" t="s">
        <v>26</v>
      </c>
      <c r="M9" s="21">
        <f>IFERROR(VLOOKUP(L9,Meal_Counter!$B:$D,3,0)*NumberOfPeople,"")</f>
        <v>18.666666666666668</v>
      </c>
      <c r="N9" s="2"/>
      <c r="O9" s="21" t="str">
        <f>IFERROR(VLOOKUP(N9,Meal_Counter!$B:$D,3,0)*NumberOfPeople,"")</f>
        <v/>
      </c>
    </row>
    <row r="10" spans="2:15" ht="22.5" customHeight="1" x14ac:dyDescent="0.25">
      <c r="B10" s="3" t="s">
        <v>4</v>
      </c>
      <c r="C10" s="3" t="str">
        <f>IFERROR(VLOOKUP(B10,Meal_Counter!$B:$D,3,0)*NumberOfPeople,"")</f>
        <v/>
      </c>
      <c r="D10" s="3" t="s">
        <v>4</v>
      </c>
      <c r="E10" s="58" t="str">
        <f>IFERROR(VLOOKUP(D10,Meal_Counter!$B:$D,3,0)*NumberOfPeople,"")</f>
        <v/>
      </c>
      <c r="F10" s="3" t="s">
        <v>4</v>
      </c>
      <c r="G10" s="58" t="str">
        <f>IFERROR(VLOOKUP(F10,Meal_Counter!$B:$D,3,0)*NumberOfPeople,"")</f>
        <v/>
      </c>
      <c r="H10" s="3" t="s">
        <v>4</v>
      </c>
      <c r="I10" s="58" t="str">
        <f>IFERROR(VLOOKUP(H10,Meal_Counter!$B:$D,3,0)*NumberOfPeople,"")</f>
        <v/>
      </c>
      <c r="J10" s="3" t="s">
        <v>4</v>
      </c>
      <c r="K10" s="58" t="str">
        <f>IFERROR(VLOOKUP(J10,Meal_Counter!$B:$D,3,0)*NumberOfPeople,"")</f>
        <v/>
      </c>
      <c r="L10" s="3" t="s">
        <v>4</v>
      </c>
      <c r="M10" s="58" t="str">
        <f>IFERROR(VLOOKUP(L10,Meal_Counter!$B:$D,3,0)*NumberOfPeople,"")</f>
        <v/>
      </c>
      <c r="N10" s="3" t="s">
        <v>4</v>
      </c>
      <c r="O10" s="58" t="str">
        <f>IFERROR(VLOOKUP(N10,Meal_Counter!$B:$D,3,0)*NumberOfPeople,"")</f>
        <v/>
      </c>
    </row>
    <row r="11" spans="2:15" ht="22.5" customHeight="1" x14ac:dyDescent="0.25">
      <c r="B11" s="2"/>
      <c r="C11" s="21" t="str">
        <f>IFERROR(VLOOKUP(B11,Meal_Counter!$B:$D,3,0)*NumberOfPeople,"")</f>
        <v/>
      </c>
      <c r="D11" s="2" t="s">
        <v>33</v>
      </c>
      <c r="E11" s="21">
        <f>IFERROR(VLOOKUP(D11,Meal_Counter!$B:$D,3,0)*NumberOfPeople,"")</f>
        <v>3.7</v>
      </c>
      <c r="F11" s="2" t="s">
        <v>35</v>
      </c>
      <c r="G11" s="21">
        <f>IFERROR(VLOOKUP(F11,Meal_Counter!$B:$D,3,0)*NumberOfPeople,"")</f>
        <v>7.68</v>
      </c>
      <c r="H11" s="2" t="s">
        <v>34</v>
      </c>
      <c r="I11" s="21">
        <f>IFERROR(VLOOKUP(H11,Meal_Counter!$B:$D,3,0)*NumberOfPeople,"")</f>
        <v>1.2</v>
      </c>
      <c r="J11" s="2" t="s">
        <v>32</v>
      </c>
      <c r="K11" s="21">
        <f>IFERROR(VLOOKUP(J11,Meal_Counter!$B:$D,3,0)*NumberOfPeople,"")</f>
        <v>2.0125000000000002</v>
      </c>
      <c r="L11" s="2" t="s">
        <v>34</v>
      </c>
      <c r="M11" s="21">
        <f>IFERROR(VLOOKUP(L11,Meal_Counter!$B:$D,3,0)*NumberOfPeople,"")</f>
        <v>1.2</v>
      </c>
      <c r="N11" s="2" t="s">
        <v>113</v>
      </c>
      <c r="O11" s="21">
        <f>IFERROR(VLOOKUP(N11,Meal_Counter!$B:$D,3,0)*NumberOfPeople,"")</f>
        <v>2.9875000000000003</v>
      </c>
    </row>
    <row r="12" spans="2:15" ht="22.5" customHeight="1" x14ac:dyDescent="0.25">
      <c r="B12" s="2" t="s">
        <v>31</v>
      </c>
      <c r="C12" s="21">
        <f>IFERROR(VLOOKUP(B12,Meal_Counter!$B:$D,3,0)*NumberOfPeople,"")</f>
        <v>2.11</v>
      </c>
      <c r="D12" s="2" t="s">
        <v>34</v>
      </c>
      <c r="E12" s="21">
        <f>IFERROR(VLOOKUP(D12,Meal_Counter!$B:$D,3,0)*NumberOfPeople,"")</f>
        <v>1.2</v>
      </c>
      <c r="F12" s="2"/>
      <c r="G12" s="21" t="str">
        <f>IFERROR(VLOOKUP(F12,Meal_Counter!$B:$D,3,0)*NumberOfPeople,"")</f>
        <v/>
      </c>
      <c r="H12" s="2"/>
      <c r="I12" s="21" t="str">
        <f>IFERROR(VLOOKUP(H12,Meal_Counter!$B:$D,3,0)*NumberOfPeople,"")</f>
        <v/>
      </c>
      <c r="J12" s="2"/>
      <c r="K12" s="21" t="str">
        <f>IFERROR(VLOOKUP(J12,Meal_Counter!$B:$D,3,0)*NumberOfPeople,"")</f>
        <v/>
      </c>
      <c r="L12" s="2" t="s">
        <v>33</v>
      </c>
      <c r="M12" s="21">
        <f>IFERROR(VLOOKUP(L12,Meal_Counter!$B:$D,3,0)*NumberOfPeople,"")</f>
        <v>3.7</v>
      </c>
      <c r="N12" s="2"/>
      <c r="O12" s="21" t="str">
        <f>IFERROR(VLOOKUP(N12,Meal_Counter!$B:$D,3,0)*NumberOfPeople,"")</f>
        <v/>
      </c>
    </row>
    <row r="13" spans="2:15" ht="22.5" customHeight="1" x14ac:dyDescent="0.25">
      <c r="B13" s="1" t="s">
        <v>22</v>
      </c>
      <c r="C13" s="1" t="str">
        <f>IFERROR(VLOOKUP(B13,Meal_Counter!$B:$D,3,0)*NumberOfPeople,"")</f>
        <v/>
      </c>
      <c r="D13" s="1" t="s">
        <v>22</v>
      </c>
      <c r="E13" s="22" t="str">
        <f>IFERROR(VLOOKUP(D13,Meal_Counter!$B:$D,3,0)*NumberOfPeople,"")</f>
        <v/>
      </c>
      <c r="F13" s="1" t="s">
        <v>22</v>
      </c>
      <c r="G13" s="22" t="str">
        <f>IFERROR(VLOOKUP(F13,Meal_Counter!$B:$D,3,0)*NumberOfPeople,"")</f>
        <v/>
      </c>
      <c r="H13" s="1" t="s">
        <v>22</v>
      </c>
      <c r="I13" s="22" t="str">
        <f>IFERROR(VLOOKUP(H13,Meal_Counter!$B:$D,3,0)*NumberOfPeople,"")</f>
        <v/>
      </c>
      <c r="J13" s="1" t="s">
        <v>22</v>
      </c>
      <c r="K13" s="22" t="str">
        <f>IFERROR(VLOOKUP(J13,Meal_Counter!$B:$D,3,0)*NumberOfPeople,"")</f>
        <v/>
      </c>
      <c r="L13" s="1" t="s">
        <v>22</v>
      </c>
      <c r="M13" s="22" t="str">
        <f>IFERROR(VLOOKUP(L13,Meal_Counter!$B:$D,3,0)*NumberOfPeople,"")</f>
        <v/>
      </c>
      <c r="N13" s="1" t="s">
        <v>22</v>
      </c>
      <c r="O13" s="22" t="str">
        <f>IFERROR(VLOOKUP(N13,Meal_Counter!$B:$D,3,0)*NumberOfPeople,"")</f>
        <v/>
      </c>
    </row>
    <row r="14" spans="2:15" ht="22.5" customHeight="1" x14ac:dyDescent="0.25">
      <c r="B14" s="2" t="s">
        <v>97</v>
      </c>
      <c r="C14" s="21">
        <f>IFERROR(VLOOKUP(B14,Meal_Counter!$B:$D,3,0)*NumberOfPeople,"")</f>
        <v>16.53125</v>
      </c>
      <c r="D14" s="2" t="s">
        <v>13</v>
      </c>
      <c r="E14" s="21">
        <f>IFERROR(VLOOKUP(D14,Meal_Counter!$B:$D,3,0)*NumberOfPeople,"")</f>
        <v>15.78125</v>
      </c>
      <c r="F14" s="2"/>
      <c r="G14" s="21" t="str">
        <f>IFERROR(VLOOKUP(F14,Meal_Counter!$B:$D,3,0)*NumberOfPeople,"")</f>
        <v/>
      </c>
      <c r="H14" s="2"/>
      <c r="I14" s="21" t="str">
        <f>IFERROR(VLOOKUP(H14,Meal_Counter!$B:$D,3,0)*NumberOfPeople,"")</f>
        <v/>
      </c>
      <c r="J14" s="2" t="s">
        <v>41</v>
      </c>
      <c r="K14" s="21">
        <f>IFERROR(VLOOKUP(J14,Meal_Counter!$B:$D,3,0)*NumberOfPeople,"")</f>
        <v>21.45</v>
      </c>
      <c r="L14" s="2" t="s">
        <v>73</v>
      </c>
      <c r="M14" s="21">
        <f>IFERROR(VLOOKUP(L14,Meal_Counter!$B:$D,3,0)*NumberOfPeople,"")</f>
        <v>28.3</v>
      </c>
      <c r="N14" s="2" t="s">
        <v>29</v>
      </c>
      <c r="O14" s="21">
        <f>IFERROR(VLOOKUP(N14,Meal_Counter!$B:$D,3,0)*NumberOfPeople,"")</f>
        <v>8.25</v>
      </c>
    </row>
    <row r="15" spans="2:15" ht="22.5" customHeight="1" x14ac:dyDescent="0.25">
      <c r="B15" s="2"/>
      <c r="C15" s="21" t="str">
        <f>IFERROR(VLOOKUP(B15,Meal_Counter!$B:$D,3,0)*NumberOfPeople,"")</f>
        <v/>
      </c>
      <c r="D15" s="2"/>
      <c r="E15" s="21" t="str">
        <f>IFERROR(VLOOKUP(D15,Meal_Counter!$B:$D,3,0)*NumberOfPeople,"")</f>
        <v/>
      </c>
      <c r="F15" s="2" t="s">
        <v>98</v>
      </c>
      <c r="G15" s="21">
        <f>IFERROR(VLOOKUP(F15,Meal_Counter!$B:$D,3,0)*NumberOfPeople,"")</f>
        <v>16.53125</v>
      </c>
      <c r="H15" s="2" t="s">
        <v>6</v>
      </c>
      <c r="I15" s="21" t="str">
        <f>IFERROR(VLOOKUP(H15,Meal_Counter!$B:$D,3,0)*NumberOfPeople,"")</f>
        <v/>
      </c>
      <c r="J15" s="2"/>
      <c r="K15" s="21" t="str">
        <f>IFERROR(VLOOKUP(J15,Meal_Counter!$B:$D,3,0)*NumberOfPeople,"")</f>
        <v/>
      </c>
      <c r="L15" s="2"/>
      <c r="M15" s="21" t="str">
        <f>IFERROR(VLOOKUP(L15,Meal_Counter!$B:$D,3,0)*NumberOfPeople,"")</f>
        <v/>
      </c>
      <c r="N15" s="2"/>
      <c r="O15" s="21" t="str">
        <f>IFERROR(VLOOKUP(N15,Meal_Counter!$B:$D,3,0)*NumberOfPeople,"")</f>
        <v/>
      </c>
    </row>
    <row r="16" spans="2:15" ht="22.5" customHeight="1" x14ac:dyDescent="0.25">
      <c r="B16" s="3" t="s">
        <v>4</v>
      </c>
      <c r="C16" s="3" t="str">
        <f>IFERROR(VLOOKUP(B16,Meal_Counter!$B:$D,3,0)*NumberOfPeople,"")</f>
        <v/>
      </c>
      <c r="D16" s="3" t="s">
        <v>4</v>
      </c>
      <c r="E16" s="58" t="str">
        <f>IFERROR(VLOOKUP(D16,Meal_Counter!$B:$D,3,0)*NumberOfPeople,"")</f>
        <v/>
      </c>
      <c r="F16" s="3" t="s">
        <v>4</v>
      </c>
      <c r="G16" s="58" t="str">
        <f>IFERROR(VLOOKUP(F16,Meal_Counter!$B:$D,3,0)*NumberOfPeople,"")</f>
        <v/>
      </c>
      <c r="H16" s="3" t="s">
        <v>4</v>
      </c>
      <c r="I16" s="58" t="str">
        <f>IFERROR(VLOOKUP(H16,Meal_Counter!$B:$D,3,0)*NumberOfPeople,"")</f>
        <v/>
      </c>
      <c r="J16" s="3" t="s">
        <v>4</v>
      </c>
      <c r="K16" s="58" t="str">
        <f>IFERROR(VLOOKUP(J16,Meal_Counter!$B:$D,3,0)*NumberOfPeople,"")</f>
        <v/>
      </c>
      <c r="L16" s="3" t="s">
        <v>4</v>
      </c>
      <c r="M16" s="58" t="str">
        <f>IFERROR(VLOOKUP(L16,Meal_Counter!$B:$D,3,0)*NumberOfPeople,"")</f>
        <v/>
      </c>
      <c r="N16" s="3" t="s">
        <v>4</v>
      </c>
      <c r="O16" s="58" t="str">
        <f>IFERROR(VLOOKUP(N16,Meal_Counter!$B:$D,3,0)*NumberOfPeople,"")</f>
        <v/>
      </c>
    </row>
    <row r="17" spans="2:26" ht="22.5" customHeight="1" x14ac:dyDescent="0.25">
      <c r="B17" s="2"/>
      <c r="C17" s="21" t="str">
        <f>IFERROR(VLOOKUP(B17,Meal_Counter!$B:$D,3,0)*NumberOfPeople,"")</f>
        <v/>
      </c>
      <c r="D17" s="2" t="s">
        <v>63</v>
      </c>
      <c r="E17" s="21">
        <f>IFERROR(VLOOKUP(D17,Meal_Counter!$B:$D,3,0)*NumberOfPeople,"")</f>
        <v>4.8499999999999996</v>
      </c>
      <c r="F17" s="2" t="s">
        <v>16</v>
      </c>
      <c r="G17" s="21">
        <f>IFERROR(VLOOKUP(F17,Meal_Counter!$B:$D,3,0)*NumberOfPeople,"")</f>
        <v>3.4649999999999999</v>
      </c>
      <c r="H17" s="2"/>
      <c r="I17" s="21" t="str">
        <f>IFERROR(VLOOKUP(H17,Meal_Counter!$B:$D,3,0)*NumberOfPeople,"")</f>
        <v/>
      </c>
      <c r="J17" s="2" t="s">
        <v>69</v>
      </c>
      <c r="K17" s="21">
        <f>IFERROR(VLOOKUP(J17,Meal_Counter!$B:$D,3,0)*NumberOfPeople,"")</f>
        <v>1.77</v>
      </c>
      <c r="L17" s="2" t="s">
        <v>62</v>
      </c>
      <c r="M17" s="21">
        <f>IFERROR(VLOOKUP(L17,Meal_Counter!$B:$D,3,0)*NumberOfPeople,"")</f>
        <v>3.4649999999999999</v>
      </c>
      <c r="N17" s="2" t="s">
        <v>12</v>
      </c>
      <c r="O17" s="21">
        <f>IFERROR(VLOOKUP(N17,Meal_Counter!$B:$D,3,0)*NumberOfPeople,"")</f>
        <v>11.84</v>
      </c>
    </row>
    <row r="18" spans="2:26" ht="22.5" customHeight="1" x14ac:dyDescent="0.25">
      <c r="B18" s="2" t="s">
        <v>3</v>
      </c>
      <c r="C18" s="21">
        <f>IFERROR(VLOOKUP(B18,Meal_Counter!$B:$D,3,0)*NumberOfPeople,"")</f>
        <v>22.083333333333336</v>
      </c>
      <c r="D18" s="2"/>
      <c r="E18" s="21" t="str">
        <f>IFERROR(VLOOKUP(D18,Meal_Counter!$B:$D,3,0)*NumberOfPeople,"")</f>
        <v/>
      </c>
      <c r="F18" s="2"/>
      <c r="G18" s="21" t="str">
        <f>IFERROR(VLOOKUP(F18,Meal_Counter!$B:$D,3,0)*NumberOfPeople,"")</f>
        <v/>
      </c>
      <c r="H18" s="2"/>
      <c r="I18" s="21" t="str">
        <f>IFERROR(VLOOKUP(H18,Meal_Counter!$B:$D,3,0)*NumberOfPeople,"")</f>
        <v/>
      </c>
      <c r="J18" s="2" t="s">
        <v>7</v>
      </c>
      <c r="K18" s="21">
        <f>IFERROR(VLOOKUP(J18,Meal_Counter!$B:$D,3,0)*NumberOfPeople,"")</f>
        <v>4.95</v>
      </c>
      <c r="L18" s="2"/>
      <c r="M18" s="21" t="str">
        <f>IFERROR(VLOOKUP(L18,Meal_Counter!$B:$D,3,0)*NumberOfPeople,"")</f>
        <v/>
      </c>
      <c r="N18" s="2" t="s">
        <v>155</v>
      </c>
      <c r="O18" s="21">
        <f>IFERROR(VLOOKUP(N18,Meal_Counter!$B:$D,3,0)*NumberOfPeople,"")</f>
        <v>22.083333333333336</v>
      </c>
    </row>
    <row r="19" spans="2:26" ht="22.5" customHeight="1" x14ac:dyDescent="0.25">
      <c r="B19" s="2"/>
      <c r="C19" s="21" t="str">
        <f>IFERROR(VLOOKUP(B19,Meal_Counter!$B:$D,3,0)*NumberOfPeople,"")</f>
        <v/>
      </c>
      <c r="D19" s="2"/>
      <c r="E19" s="21" t="str">
        <f>IFERROR(VLOOKUP(D19,Meal_Counter!$B:$D,3,0)*NumberOfPeople,"")</f>
        <v/>
      </c>
      <c r="F19" s="2"/>
      <c r="G19" s="21" t="str">
        <f>IFERROR(VLOOKUP(F19,Meal_Counter!$B:$D,3,0)*NumberOfPeople,"")</f>
        <v/>
      </c>
      <c r="H19" s="2" t="s">
        <v>17</v>
      </c>
      <c r="I19" s="21">
        <f>IFERROR(VLOOKUP(H19,Meal_Counter!$B:$D,3,0)*NumberOfPeople,"")</f>
        <v>2.4500000000000002</v>
      </c>
      <c r="J19" s="2"/>
      <c r="K19" s="21" t="str">
        <f>IFERROR(VLOOKUP(J19,Meal_Counter!$B:$D,3,0)*NumberOfPeople,"")</f>
        <v/>
      </c>
      <c r="L19" s="2" t="s">
        <v>8</v>
      </c>
      <c r="M19" s="21">
        <f>IFERROR(VLOOKUP(L19,Meal_Counter!$B:$D,3,0)*NumberOfPeople,"")</f>
        <v>2.0129999999999999</v>
      </c>
      <c r="N19" s="2"/>
      <c r="O19" s="21" t="str">
        <f>IFERROR(VLOOKUP(N19,Meal_Counter!$B:$D,3,0)*NumberOfPeople,"")</f>
        <v/>
      </c>
    </row>
    <row r="20" spans="2:26" ht="22.5" customHeight="1" x14ac:dyDescent="0.25">
      <c r="B20" s="1" t="s">
        <v>96</v>
      </c>
      <c r="C20" s="1" t="str">
        <f>IFERROR(VLOOKUP(B20,Meal_Counter!$B:$D,3,0)*NumberOfPeople,"")</f>
        <v/>
      </c>
      <c r="D20" s="1" t="s">
        <v>96</v>
      </c>
      <c r="E20" s="22" t="str">
        <f>IFERROR(VLOOKUP(D20,Meal_Counter!$B:$D,3,0)*NumberOfPeople,"")</f>
        <v/>
      </c>
      <c r="F20" s="1" t="s">
        <v>96</v>
      </c>
      <c r="G20" s="22" t="str">
        <f>IFERROR(VLOOKUP(F20,Meal_Counter!$B:$D,3,0)*NumberOfPeople,"")</f>
        <v/>
      </c>
      <c r="H20" s="1"/>
      <c r="I20" s="22" t="str">
        <f>IFERROR(VLOOKUP(H20,Meal_Counter!$B:$D,3,0)*NumberOfPeople,"")</f>
        <v/>
      </c>
      <c r="J20" s="1" t="s">
        <v>96</v>
      </c>
      <c r="K20" s="22" t="str">
        <f>IFERROR(VLOOKUP(J20,Meal_Counter!$B:$D,3,0)*NumberOfPeople,"")</f>
        <v/>
      </c>
      <c r="L20" s="1" t="s">
        <v>96</v>
      </c>
      <c r="M20" s="22" t="str">
        <f>IFERROR(VLOOKUP(L20,Meal_Counter!$B:$D,3,0)*NumberOfPeople,"")</f>
        <v/>
      </c>
      <c r="N20" s="1" t="s">
        <v>96</v>
      </c>
      <c r="O20" s="22" t="str">
        <f>IFERROR(VLOOKUP(N20,Meal_Counter!$B:$D,3,0)*NumberOfPeople,"")</f>
        <v/>
      </c>
    </row>
    <row r="21" spans="2:26" ht="22.5" customHeight="1" x14ac:dyDescent="0.25">
      <c r="B21" s="54"/>
      <c r="C21" s="54" t="str">
        <f>IFERROR(VLOOKUP(B21,Meal_Counter!$B:$D,3,0)*NumberOfPeople,"")</f>
        <v/>
      </c>
      <c r="D21" s="54" t="s">
        <v>21</v>
      </c>
      <c r="E21" s="21">
        <f>IFERROR(VLOOKUP(D21,Meal_Counter!$B:$D,3,0)*NumberOfPeople,"")</f>
        <v>1.6541666666666666</v>
      </c>
      <c r="F21" s="54" t="s">
        <v>20</v>
      </c>
      <c r="G21" s="21">
        <f>IFERROR(VLOOKUP(F21,Meal_Counter!$B:$D,3,0)*NumberOfPeople,"")</f>
        <v>1.2375</v>
      </c>
      <c r="H21" s="54" t="s">
        <v>18</v>
      </c>
      <c r="I21" s="21">
        <f>IFERROR(VLOOKUP(H21,Meal_Counter!$B:$D,3,0)*NumberOfPeople,"")</f>
        <v>2.41</v>
      </c>
      <c r="J21" s="54"/>
      <c r="K21" s="21" t="str">
        <f>IFERROR(VLOOKUP(J21,Meal_Counter!$B:$D,3,0)*NumberOfPeople,"")</f>
        <v/>
      </c>
      <c r="L21" s="54" t="s">
        <v>19</v>
      </c>
      <c r="M21" s="21">
        <f>IFERROR(VLOOKUP(L21,Meal_Counter!$B:$D,3,0)*NumberOfPeople,"")</f>
        <v>1.4850000000000003</v>
      </c>
      <c r="N21" s="54"/>
      <c r="O21" s="21" t="str">
        <f>IFERROR(VLOOKUP(N21,Meal_Counter!$B:$D,3,0)*NumberOfPeople,"")</f>
        <v/>
      </c>
    </row>
    <row r="22" spans="2:26" s="19" customFormat="1" x14ac:dyDescent="0.25"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Z22" s="60"/>
    </row>
    <row r="23" spans="2:26" s="19" customFormat="1" x14ac:dyDescent="0.25">
      <c r="B23" s="55" t="s">
        <v>176</v>
      </c>
      <c r="C23" s="56">
        <f>SUM(C4:C6,C8:C9,C11:C12,C14:C15,C17:C19,C21)</f>
        <v>69.671500000000009</v>
      </c>
      <c r="D23" s="55" t="s">
        <v>176</v>
      </c>
      <c r="E23" s="56">
        <f>SUM(E4:E6,E8:E9,E11:E12,E14:E15,E17:E19,E21)</f>
        <v>56.197916666666679</v>
      </c>
      <c r="F23" s="55" t="s">
        <v>176</v>
      </c>
      <c r="G23" s="56">
        <f>SUM(G4:G6,G8:G9,G11:G12,G14:G15,G17:G19,G21)</f>
        <v>82.260666666666665</v>
      </c>
      <c r="H23" s="55" t="s">
        <v>176</v>
      </c>
      <c r="I23" s="56">
        <f>SUM(I4:I6,I8:I9,I11:I12,I14:I15,I17:I19,I21)</f>
        <v>26.919374999999999</v>
      </c>
      <c r="J23" s="55" t="s">
        <v>176</v>
      </c>
      <c r="K23" s="56">
        <f>SUM(K4:K6,K8:K9,K11:K12,K14:K15,K17:K19,K21)</f>
        <v>37.48041666666667</v>
      </c>
      <c r="L23" s="55" t="s">
        <v>176</v>
      </c>
      <c r="M23" s="56">
        <f>SUM(M4:M21)</f>
        <v>60.660916666666672</v>
      </c>
      <c r="N23" s="55" t="s">
        <v>176</v>
      </c>
      <c r="O23" s="56">
        <f>SUM(O4:O21)</f>
        <v>60.016083333333334</v>
      </c>
      <c r="Z23" s="60"/>
    </row>
    <row r="24" spans="2:26" s="19" customFormat="1" x14ac:dyDescent="0.25">
      <c r="B24" s="55" t="s">
        <v>177</v>
      </c>
      <c r="C24" s="56">
        <v>60</v>
      </c>
      <c r="D24" s="55" t="s">
        <v>177</v>
      </c>
      <c r="E24" s="56">
        <v>60</v>
      </c>
      <c r="F24" s="55" t="s">
        <v>177</v>
      </c>
      <c r="G24" s="56">
        <v>60</v>
      </c>
      <c r="H24" s="55" t="s">
        <v>177</v>
      </c>
      <c r="I24" s="56">
        <v>60</v>
      </c>
      <c r="J24" s="55" t="s">
        <v>177</v>
      </c>
      <c r="K24" s="56">
        <v>60</v>
      </c>
      <c r="L24" s="55" t="s">
        <v>177</v>
      </c>
      <c r="M24" s="56">
        <v>60</v>
      </c>
      <c r="N24" s="55" t="s">
        <v>177</v>
      </c>
      <c r="O24" s="56">
        <v>60</v>
      </c>
      <c r="Z24" s="60"/>
    </row>
    <row r="25" spans="2:26" s="19" customFormat="1" x14ac:dyDescent="0.25">
      <c r="B25" s="55"/>
      <c r="C25" s="56"/>
      <c r="D25" s="55"/>
      <c r="E25" s="56"/>
      <c r="F25" s="55"/>
      <c r="G25" s="56"/>
      <c r="H25" s="55"/>
      <c r="I25" s="56"/>
      <c r="J25" s="55"/>
      <c r="K25" s="56"/>
      <c r="L25" s="55"/>
      <c r="M25" s="56"/>
      <c r="N25" s="55"/>
      <c r="O25" s="56"/>
      <c r="Z25" s="60"/>
    </row>
    <row r="26" spans="2:26" s="19" customFormat="1" x14ac:dyDescent="0.25">
      <c r="B26" s="2" t="s">
        <v>178</v>
      </c>
      <c r="C26" s="21">
        <f>C24-C23</f>
        <v>-9.6715000000000089</v>
      </c>
      <c r="D26" s="2" t="s">
        <v>178</v>
      </c>
      <c r="E26" s="21">
        <f>E24-E23</f>
        <v>3.8020833333333215</v>
      </c>
      <c r="F26" s="2" t="s">
        <v>178</v>
      </c>
      <c r="G26" s="21">
        <f>G24-G23</f>
        <v>-22.260666666666665</v>
      </c>
      <c r="H26" s="2" t="s">
        <v>178</v>
      </c>
      <c r="I26" s="21">
        <f>I24-I23</f>
        <v>33.080624999999998</v>
      </c>
      <c r="J26" s="2" t="s">
        <v>178</v>
      </c>
      <c r="K26" s="21">
        <f>K24-K23</f>
        <v>22.51958333333333</v>
      </c>
      <c r="L26" s="2" t="s">
        <v>178</v>
      </c>
      <c r="M26" s="21">
        <f>M24-M23</f>
        <v>-0.66091666666667237</v>
      </c>
      <c r="N26" s="2" t="s">
        <v>178</v>
      </c>
      <c r="O26" s="21">
        <f>O24-O23</f>
        <v>-1.6083333333334338E-2</v>
      </c>
      <c r="Z26" s="60"/>
    </row>
    <row r="27" spans="2:26" s="19" customFormat="1" x14ac:dyDescent="0.25">
      <c r="C27" s="52"/>
      <c r="E27" s="52"/>
      <c r="G27" s="52"/>
      <c r="I27" s="52"/>
      <c r="K27" s="52"/>
      <c r="Z27" s="60"/>
    </row>
    <row r="28" spans="2:26" s="19" customFormat="1" x14ac:dyDescent="0.25">
      <c r="C28" s="52"/>
      <c r="E28" s="52"/>
      <c r="G28" s="52"/>
      <c r="I28" s="52"/>
      <c r="K28" s="52"/>
      <c r="Z28" s="60"/>
    </row>
    <row r="29" spans="2:26" s="19" customFormat="1" x14ac:dyDescent="0.25">
      <c r="C29" s="52"/>
      <c r="E29" s="52"/>
      <c r="G29" s="52"/>
      <c r="I29" s="52"/>
      <c r="K29" s="52"/>
      <c r="Z29" s="60"/>
    </row>
    <row r="30" spans="2:26" s="19" customFormat="1" x14ac:dyDescent="0.25">
      <c r="C30" s="52"/>
      <c r="E30" s="52"/>
      <c r="G30" s="52"/>
      <c r="I30" s="52"/>
      <c r="K30" s="52"/>
      <c r="Z30" s="60"/>
    </row>
    <row r="31" spans="2:26" s="19" customFormat="1" x14ac:dyDescent="0.25">
      <c r="C31" s="52"/>
      <c r="E31" s="52"/>
      <c r="G31" s="52"/>
      <c r="I31" s="52"/>
      <c r="K31" s="52"/>
      <c r="Z31" s="60"/>
    </row>
    <row r="32" spans="2:26" s="19" customFormat="1" x14ac:dyDescent="0.25">
      <c r="C32" s="52"/>
      <c r="E32" s="52"/>
      <c r="G32" s="52"/>
      <c r="I32" s="52"/>
      <c r="K32" s="52"/>
      <c r="Z32" s="60"/>
    </row>
    <row r="33" spans="3:26" s="19" customFormat="1" x14ac:dyDescent="0.25">
      <c r="C33" s="52"/>
      <c r="E33" s="52"/>
      <c r="G33" s="52"/>
      <c r="I33" s="52"/>
      <c r="K33" s="52"/>
      <c r="Z33" s="60"/>
    </row>
    <row r="34" spans="3:26" s="19" customFormat="1" x14ac:dyDescent="0.25">
      <c r="C34" s="52"/>
      <c r="E34" s="52"/>
      <c r="G34" s="52"/>
      <c r="I34" s="52"/>
      <c r="K34" s="52"/>
      <c r="Z34" s="60"/>
    </row>
    <row r="35" spans="3:26" s="19" customFormat="1" x14ac:dyDescent="0.25">
      <c r="C35" s="52"/>
      <c r="E35" s="52"/>
      <c r="G35" s="52"/>
      <c r="I35" s="52"/>
      <c r="K35" s="52"/>
      <c r="Z35" s="60"/>
    </row>
    <row r="36" spans="3:26" s="19" customFormat="1" x14ac:dyDescent="0.25">
      <c r="C36" s="52"/>
      <c r="E36" s="52"/>
      <c r="G36" s="52"/>
      <c r="I36" s="52"/>
      <c r="K36" s="52"/>
      <c r="Z36" s="60"/>
    </row>
    <row r="37" spans="3:26" s="19" customFormat="1" x14ac:dyDescent="0.25">
      <c r="C37" s="52"/>
      <c r="E37" s="52"/>
      <c r="G37" s="52"/>
      <c r="I37" s="52"/>
      <c r="K37" s="52"/>
      <c r="Z37" s="60"/>
    </row>
    <row r="38" spans="3:26" s="19" customFormat="1" x14ac:dyDescent="0.25">
      <c r="C38" s="52"/>
      <c r="E38" s="52"/>
      <c r="G38" s="52"/>
      <c r="I38" s="52"/>
      <c r="K38" s="52"/>
      <c r="Z38" s="60"/>
    </row>
    <row r="39" spans="3:26" s="19" customFormat="1" x14ac:dyDescent="0.25">
      <c r="C39" s="52"/>
      <c r="E39" s="52"/>
      <c r="G39" s="52"/>
      <c r="I39" s="52"/>
      <c r="K39" s="52"/>
      <c r="Z39" s="60"/>
    </row>
    <row r="40" spans="3:26" s="19" customFormat="1" x14ac:dyDescent="0.25">
      <c r="C40" s="52"/>
      <c r="E40" s="52"/>
      <c r="G40" s="52"/>
      <c r="I40" s="52"/>
      <c r="K40" s="52"/>
      <c r="Z40" s="60"/>
    </row>
    <row r="41" spans="3:26" s="19" customFormat="1" x14ac:dyDescent="0.25">
      <c r="C41" s="52"/>
      <c r="E41" s="52"/>
      <c r="G41" s="52"/>
      <c r="I41" s="52"/>
      <c r="K41" s="52"/>
      <c r="Z41" s="60"/>
    </row>
    <row r="42" spans="3:26" s="19" customFormat="1" x14ac:dyDescent="0.25">
      <c r="C42" s="52"/>
      <c r="E42" s="52"/>
      <c r="G42" s="52"/>
      <c r="I42" s="52"/>
      <c r="K42" s="52"/>
      <c r="Z42" s="60"/>
    </row>
    <row r="43" spans="3:26" s="19" customFormat="1" x14ac:dyDescent="0.25">
      <c r="C43" s="52"/>
      <c r="E43" s="52"/>
      <c r="G43" s="52"/>
      <c r="I43" s="52"/>
      <c r="K43" s="52"/>
      <c r="Z43" s="60"/>
    </row>
    <row r="44" spans="3:26" s="19" customFormat="1" x14ac:dyDescent="0.25">
      <c r="C44" s="52"/>
      <c r="E44" s="52"/>
      <c r="G44" s="52"/>
      <c r="I44" s="52"/>
      <c r="K44" s="52"/>
      <c r="Z44" s="60"/>
    </row>
    <row r="45" spans="3:26" s="19" customFormat="1" x14ac:dyDescent="0.25">
      <c r="C45" s="52"/>
      <c r="E45" s="52"/>
      <c r="G45" s="52"/>
      <c r="I45" s="52"/>
      <c r="K45" s="52"/>
      <c r="Z45" s="60"/>
    </row>
    <row r="46" spans="3:26" s="19" customFormat="1" x14ac:dyDescent="0.25">
      <c r="C46" s="52"/>
      <c r="E46" s="52"/>
      <c r="G46" s="52"/>
      <c r="I46" s="52"/>
      <c r="K46" s="52"/>
      <c r="Z46" s="60"/>
    </row>
    <row r="47" spans="3:26" s="19" customFormat="1" x14ac:dyDescent="0.25">
      <c r="C47" s="52"/>
      <c r="E47" s="52"/>
      <c r="G47" s="52"/>
      <c r="I47" s="52"/>
      <c r="K47" s="52"/>
      <c r="Z47" s="60"/>
    </row>
    <row r="48" spans="3:26" s="19" customFormat="1" x14ac:dyDescent="0.25">
      <c r="C48" s="52"/>
      <c r="E48" s="52"/>
      <c r="G48" s="52"/>
      <c r="I48" s="52"/>
      <c r="K48" s="52"/>
      <c r="Z48" s="60"/>
    </row>
    <row r="49" spans="3:26" s="19" customFormat="1" x14ac:dyDescent="0.25">
      <c r="C49" s="52"/>
      <c r="E49" s="52"/>
      <c r="G49" s="52"/>
      <c r="I49" s="52"/>
      <c r="K49" s="52"/>
      <c r="Z49" s="60"/>
    </row>
    <row r="50" spans="3:26" s="19" customFormat="1" x14ac:dyDescent="0.25">
      <c r="C50" s="52"/>
      <c r="E50" s="52"/>
      <c r="G50" s="52"/>
      <c r="I50" s="52"/>
      <c r="K50" s="52"/>
      <c r="Z50" s="60"/>
    </row>
    <row r="51" spans="3:26" s="19" customFormat="1" x14ac:dyDescent="0.25">
      <c r="C51" s="52"/>
      <c r="E51" s="52"/>
      <c r="G51" s="52"/>
      <c r="I51" s="52"/>
      <c r="K51" s="52"/>
      <c r="Z51" s="60"/>
    </row>
  </sheetData>
  <customSheetViews>
    <customSheetView guid="{45A1D012-B874-4DD8-9662-AFBB0284400B}">
      <selection activeCell="G6" sqref="G6"/>
      <pageMargins left="0.7" right="0.7" top="0.75" bottom="0.75" header="0.3" footer="0.3"/>
    </customSheetView>
  </customSheetViews>
  <mergeCells count="8">
    <mergeCell ref="N2:O2"/>
    <mergeCell ref="G1:H1"/>
    <mergeCell ref="B2:C2"/>
    <mergeCell ref="D2:E2"/>
    <mergeCell ref="F2:G2"/>
    <mergeCell ref="H2:I2"/>
    <mergeCell ref="J2:K2"/>
    <mergeCell ref="L2:M2"/>
  </mergeCells>
  <phoneticPr fontId="1" type="noConversion"/>
  <conditionalFormatting sqref="C26">
    <cfRule type="cellIs" dxfId="73" priority="13" operator="lessThan">
      <formula>0</formula>
    </cfRule>
    <cfRule type="cellIs" dxfId="72" priority="14" operator="greaterThanOrEqual">
      <formula>0</formula>
    </cfRule>
  </conditionalFormatting>
  <conditionalFormatting sqref="E26">
    <cfRule type="cellIs" dxfId="71" priority="11" operator="lessThan">
      <formula>0</formula>
    </cfRule>
    <cfRule type="cellIs" dxfId="70" priority="12" operator="greaterThanOrEqual">
      <formula>0</formula>
    </cfRule>
  </conditionalFormatting>
  <conditionalFormatting sqref="G26">
    <cfRule type="cellIs" dxfId="69" priority="9" operator="lessThan">
      <formula>0</formula>
    </cfRule>
    <cfRule type="cellIs" dxfId="68" priority="10" operator="greaterThanOrEqual">
      <formula>0</formula>
    </cfRule>
  </conditionalFormatting>
  <conditionalFormatting sqref="I26">
    <cfRule type="cellIs" dxfId="67" priority="7" operator="lessThan">
      <formula>0</formula>
    </cfRule>
    <cfRule type="cellIs" dxfId="66" priority="8" operator="greaterThanOrEqual">
      <formula>0</formula>
    </cfRule>
  </conditionalFormatting>
  <conditionalFormatting sqref="K26">
    <cfRule type="cellIs" dxfId="65" priority="5" operator="lessThan">
      <formula>0</formula>
    </cfRule>
    <cfRule type="cellIs" dxfId="64" priority="6" operator="greaterThanOrEqual">
      <formula>0</formula>
    </cfRule>
  </conditionalFormatting>
  <conditionalFormatting sqref="M26">
    <cfRule type="cellIs" dxfId="63" priority="3" operator="lessThan">
      <formula>0</formula>
    </cfRule>
    <cfRule type="cellIs" dxfId="62" priority="4" operator="greaterThanOrEqual">
      <formula>0</formula>
    </cfRule>
  </conditionalFormatting>
  <conditionalFormatting sqref="O26">
    <cfRule type="cellIs" dxfId="61" priority="1" operator="lessThan">
      <formula>0</formula>
    </cfRule>
    <cfRule type="cellIs" dxfId="60" priority="2" operator="greaterThanOrEqual">
      <formula>0</formula>
    </cfRule>
  </conditionalFormatting>
  <dataValidations count="6">
    <dataValidation type="list" allowBlank="1" showInputMessage="1" showErrorMessage="1" sqref="B4:B6 D4:D6 F4:F6 H4:H6 J4:J6 L4:L6 N4:N6" xr:uid="{DA800E31-0DCB-4BB1-A9B2-B67A6A3B0BB7}">
      <formula1>Breakfast</formula1>
    </dataValidation>
    <dataValidation type="list" allowBlank="1" showInputMessage="1" showErrorMessage="1" sqref="B14:B15 D14:D15 F14:F15 H14:H15 J14:J15 L14:L15 N14:N15" xr:uid="{3D9FEF32-264E-4504-AAEB-7EA9618EC0BF}">
      <formula1>Main</formula1>
    </dataValidation>
    <dataValidation type="list" allowBlank="1" showInputMessage="1" showErrorMessage="1" sqref="B17:B19 D17:D19 F17:F19 H17:H19 J17:J19 L17:L19 N17:N19" xr:uid="{5CF39659-5243-4248-A5EA-FE575D826136}">
      <formula1>Sides</formula1>
    </dataValidation>
    <dataValidation type="list" allowBlank="1" showInputMessage="1" showErrorMessage="1" sqref="B11:B12 D11:D12 F11:F12 H11:H12 J11:J12 L11:L12 N11:N12" xr:uid="{80AD6A35-62B5-40B3-A2D4-D81F9698A79C}">
      <formula1>Snacks</formula1>
    </dataValidation>
    <dataValidation type="list" allowBlank="1" showInputMessage="1" showErrorMessage="1" sqref="B21 D21 F21 H21 J21 L21 N21" xr:uid="{43A5B48A-6859-4A6D-BB82-FE750303D053}">
      <formula1>Desserts</formula1>
    </dataValidation>
    <dataValidation type="list" allowBlank="1" showInputMessage="1" showErrorMessage="1" sqref="N11:N12 B11:B12 B8:B9 D8:D9 D11:D12 F11:F12 F8:F9 H8:H9 H11:H12 J11:J12 J8:J9 L8:L9 L11:L12 N8:N9" xr:uid="{62339E3B-519B-4139-8561-5B01383F89CB}">
      <formula1>Lunch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UserForm_ClearDays_Click">
                <anchor moveWithCells="1" sizeWithCells="1">
                  <from>
                    <xdr:col>15</xdr:col>
                    <xdr:colOff>371475</xdr:colOff>
                    <xdr:row>0</xdr:row>
                    <xdr:rowOff>114300</xdr:rowOff>
                  </from>
                  <to>
                    <xdr:col>19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Button 25">
              <controlPr defaultSize="0" print="0" autoFill="0" autoPict="0" macro="[0]!FamilySize">
                <anchor moveWithCells="1" sizeWithCells="1">
                  <from>
                    <xdr:col>1</xdr:col>
                    <xdr:colOff>552450</xdr:colOff>
                    <xdr:row>0</xdr:row>
                    <xdr:rowOff>19050</xdr:rowOff>
                  </from>
                  <to>
                    <xdr:col>3</xdr:col>
                    <xdr:colOff>800100</xdr:colOff>
                    <xdr:row>0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6" name="Button 35">
              <controlPr defaultSize="0" print="0" autoFill="0" autoPict="0" macro="[0]!ShowBanner_Click">
                <anchor moveWithCells="1" sizeWithCells="1">
                  <from>
                    <xdr:col>16</xdr:col>
                    <xdr:colOff>342900</xdr:colOff>
                    <xdr:row>1</xdr:row>
                    <xdr:rowOff>85725</xdr:rowOff>
                  </from>
                  <to>
                    <xdr:col>18</xdr:col>
                    <xdr:colOff>476250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7" name="Button 36">
              <controlPr defaultSize="0" print="0" autoFill="0" autoPict="0" macro="[0]!OpenShoppingList">
                <anchor moveWithCells="1" sizeWithCells="1">
                  <from>
                    <xdr:col>9</xdr:col>
                    <xdr:colOff>552450</xdr:colOff>
                    <xdr:row>0</xdr:row>
                    <xdr:rowOff>0</xdr:rowOff>
                  </from>
                  <to>
                    <xdr:col>11</xdr:col>
                    <xdr:colOff>1057275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372E0-4FBB-4910-B2D5-AA728932E21A}">
  <sheetPr codeName="Sheet8"/>
  <dimension ref="A1:AK82"/>
  <sheetViews>
    <sheetView topLeftCell="A7" workbookViewId="0">
      <selection activeCell="O31" sqref="O31"/>
    </sheetView>
  </sheetViews>
  <sheetFormatPr defaultRowHeight="15" x14ac:dyDescent="0.25"/>
  <cols>
    <col min="1" max="1" width="2.85546875" style="5" customWidth="1"/>
    <col min="2" max="2" width="22" style="5" bestFit="1" customWidth="1"/>
    <col min="3" max="3" width="10.140625" style="44" customWidth="1"/>
    <col min="4" max="4" width="9.42578125" style="5" customWidth="1"/>
    <col min="5" max="5" width="6.42578125" style="32" customWidth="1"/>
    <col min="6" max="6" width="0.42578125" style="40" customWidth="1"/>
    <col min="7" max="7" width="2.85546875" style="5" customWidth="1"/>
    <col min="8" max="8" width="20.85546875" style="5" bestFit="1" customWidth="1"/>
    <col min="9" max="9" width="9.28515625" style="5" customWidth="1"/>
    <col min="10" max="10" width="7.5703125" style="5" customWidth="1"/>
    <col min="11" max="11" width="9.28515625" style="32" customWidth="1"/>
    <col min="12" max="37" width="9.140625" style="5"/>
  </cols>
  <sheetData>
    <row r="1" spans="1:11" ht="45" x14ac:dyDescent="0.25">
      <c r="A1" s="38"/>
      <c r="B1" s="34" t="s">
        <v>126</v>
      </c>
      <c r="C1" s="26" t="s">
        <v>127</v>
      </c>
      <c r="D1" s="26" t="s">
        <v>128</v>
      </c>
      <c r="E1" s="28" t="s">
        <v>164</v>
      </c>
      <c r="F1" s="39"/>
      <c r="G1" s="47"/>
      <c r="H1" s="25" t="s">
        <v>126</v>
      </c>
      <c r="I1" s="45" t="s">
        <v>127</v>
      </c>
      <c r="J1" s="26" t="s">
        <v>128</v>
      </c>
      <c r="K1" s="28" t="s">
        <v>164</v>
      </c>
    </row>
    <row r="2" spans="1:11" x14ac:dyDescent="0.25">
      <c r="A2" s="8"/>
      <c r="B2" s="35" t="s">
        <v>40</v>
      </c>
      <c r="C2" s="41">
        <f>GETPIVOTDATA("Sum of ROUNDUP",PivotTable!$B$1,"Shopping List Items","Alfredo Sauce")</f>
        <v>0</v>
      </c>
      <c r="D2" s="27" t="s">
        <v>129</v>
      </c>
      <c r="E2" s="29">
        <f>VLOOKUP(B2,PriceSheet!$B:$D,3,0)*C2</f>
        <v>0</v>
      </c>
      <c r="F2" s="33"/>
      <c r="G2" s="7"/>
      <c r="H2" s="46" t="s">
        <v>46</v>
      </c>
      <c r="I2" s="12">
        <f>GETPIVOTDATA("Sum of ROUNDUP",PivotTable!$B$1,"Shopping List Items","Mayo")</f>
        <v>1</v>
      </c>
      <c r="J2" s="14" t="s">
        <v>129</v>
      </c>
      <c r="K2" s="30">
        <f>VLOOKUP(H2,PriceSheet!$B:$D,3,0)*I2</f>
        <v>2.98</v>
      </c>
    </row>
    <row r="3" spans="1:11" x14ac:dyDescent="0.25">
      <c r="A3" s="8"/>
      <c r="B3" s="36" t="s">
        <v>64</v>
      </c>
      <c r="C3" s="42">
        <f>GETPIVOTDATA("Sum of ROUNDUP",PivotTable!$B$1,"Shopping List Items","Apples")</f>
        <v>10</v>
      </c>
      <c r="D3" s="14" t="s">
        <v>130</v>
      </c>
      <c r="E3" s="30">
        <f>VLOOKUP(B3,PriceSheet!$B:$D,3,0)*C3</f>
        <v>7.4</v>
      </c>
      <c r="F3" s="33"/>
      <c r="G3" s="7"/>
      <c r="H3" s="9" t="s">
        <v>79</v>
      </c>
      <c r="I3" s="10">
        <f>GETPIVOTDATA("Sum of ROUNDUP",PivotTable!$B$1,"Shopping List Items","Milk ")</f>
        <v>1</v>
      </c>
      <c r="J3" s="13" t="s">
        <v>141</v>
      </c>
      <c r="K3" s="31">
        <f>VLOOKUP(H3,PriceSheet!$B:$D,3,0)*I3</f>
        <v>3.07</v>
      </c>
    </row>
    <row r="4" spans="1:11" x14ac:dyDescent="0.25">
      <c r="A4" s="8"/>
      <c r="B4" s="37" t="s">
        <v>122</v>
      </c>
      <c r="C4" s="43">
        <f>GETPIVOTDATA("Sum of ROUNDUP",PivotTable!$B$1,"Shopping List Items","Asparagus")</f>
        <v>3</v>
      </c>
      <c r="D4" s="13" t="s">
        <v>131</v>
      </c>
      <c r="E4" s="31">
        <f>VLOOKUP(B4,PriceSheet!$B:$D,3,0)*C4</f>
        <v>5.9399999999999995</v>
      </c>
      <c r="F4" s="33"/>
      <c r="G4" s="7"/>
      <c r="H4" s="11" t="s">
        <v>47</v>
      </c>
      <c r="I4" s="12">
        <f>GETPIVOTDATA("Sum of ROUNDUP",PivotTable!$B$1,"Shopping List Items","Mustard")</f>
        <v>2</v>
      </c>
      <c r="J4" s="14" t="s">
        <v>129</v>
      </c>
      <c r="K4" s="30">
        <f>VLOOKUP(H4,PriceSheet!$B:$D,3,0)*I4</f>
        <v>3.12</v>
      </c>
    </row>
    <row r="5" spans="1:11" x14ac:dyDescent="0.25">
      <c r="A5" s="8"/>
      <c r="B5" s="36" t="s">
        <v>54</v>
      </c>
      <c r="C5" s="42">
        <f>GETPIVOTDATA("Sum of ROUNDUP",PivotTable!$B$1,"Shopping List Items","Bacon")</f>
        <v>1</v>
      </c>
      <c r="D5" s="14" t="s">
        <v>132</v>
      </c>
      <c r="E5" s="30">
        <f>VLOOKUP(B5,PriceSheet!$B:$D,3,0)*C5</f>
        <v>3.47</v>
      </c>
      <c r="F5" s="33"/>
      <c r="G5" s="7"/>
      <c r="H5" s="9" t="s">
        <v>113</v>
      </c>
      <c r="I5" s="10">
        <f>GETPIVOTDATA("Sum of ROUNDUP",PivotTable!$B$1,"Shopping List Items","Nutragrain Bars")</f>
        <v>1</v>
      </c>
      <c r="J5" s="13" t="s">
        <v>133</v>
      </c>
      <c r="K5" s="31">
        <f>VLOOKUP(H5,PriceSheet!$B:$D,3,0)*I5</f>
        <v>4.78</v>
      </c>
    </row>
    <row r="6" spans="1:11" x14ac:dyDescent="0.25">
      <c r="A6" s="8"/>
      <c r="B6" s="37" t="s">
        <v>56</v>
      </c>
      <c r="C6" s="43">
        <f>GETPIVOTDATA("Sum of ROUNDUP",PivotTable!$B$1,"Shopping List Items","Bacon Bits")</f>
        <v>0</v>
      </c>
      <c r="D6" s="13" t="s">
        <v>129</v>
      </c>
      <c r="E6" s="31">
        <f>VLOOKUP(B6,PriceSheet!$B:$D,3,0)*C6</f>
        <v>0</v>
      </c>
      <c r="F6" s="33"/>
      <c r="G6" s="7"/>
      <c r="H6" s="11" t="s">
        <v>5</v>
      </c>
      <c r="I6" s="12">
        <f>GETPIVOTDATA("Sum of ROUNDUP",PivotTable!$B$1,"Shopping List Items","NY Strip")</f>
        <v>0</v>
      </c>
      <c r="J6" s="14" t="s">
        <v>130</v>
      </c>
      <c r="K6" s="30">
        <f>VLOOKUP(H6,PriceSheet!$B:$D,3,0)*I6</f>
        <v>0</v>
      </c>
    </row>
    <row r="7" spans="1:11" x14ac:dyDescent="0.25">
      <c r="A7" s="8"/>
      <c r="B7" s="36" t="s">
        <v>65</v>
      </c>
      <c r="C7" s="42">
        <f>GETPIVOTDATA("Sum of ROUNDUP",PivotTable!$B$1,"Shopping List Items","Banana")</f>
        <v>15</v>
      </c>
      <c r="D7" s="14" t="s">
        <v>130</v>
      </c>
      <c r="E7" s="30">
        <f>VLOOKUP(B7,PriceSheet!$B:$D,3,0)*C7</f>
        <v>3.5999999999999996</v>
      </c>
      <c r="F7" s="33"/>
      <c r="G7" s="7"/>
      <c r="H7" s="9" t="s">
        <v>60</v>
      </c>
      <c r="I7" s="10">
        <f>GETPIVOTDATA("Sum of ROUNDUP",PivotTable!$B$1,"Shopping List Items","Onion")</f>
        <v>1</v>
      </c>
      <c r="J7" s="13" t="s">
        <v>130</v>
      </c>
      <c r="K7" s="31">
        <f>VLOOKUP(H7,PriceSheet!$B:$D,3,0)*I7</f>
        <v>0.78</v>
      </c>
    </row>
    <row r="8" spans="1:11" x14ac:dyDescent="0.25">
      <c r="A8" s="8"/>
      <c r="B8" s="37" t="s">
        <v>80</v>
      </c>
      <c r="C8" s="43">
        <f>GETPIVOTDATA("Sum of ROUNDUP",PivotTable!$B$1,"Shopping List Items","Biscuits")</f>
        <v>2</v>
      </c>
      <c r="D8" s="13" t="s">
        <v>132</v>
      </c>
      <c r="E8" s="31">
        <f>VLOOKUP(B8,PriceSheet!$B:$D,3,0)*C8</f>
        <v>3.96</v>
      </c>
      <c r="F8" s="33"/>
      <c r="G8" s="7"/>
      <c r="H8" s="11" t="s">
        <v>66</v>
      </c>
      <c r="I8" s="12">
        <f>GETPIVOTDATA("Sum of ROUNDUP",PivotTable!$B$1,"Shopping List Items","Oranges")</f>
        <v>5</v>
      </c>
      <c r="J8" s="14" t="s">
        <v>130</v>
      </c>
      <c r="K8" s="30">
        <f>VLOOKUP(H8,PriceSheet!$B:$D,3,0)*I8</f>
        <v>7.68</v>
      </c>
    </row>
    <row r="9" spans="1:11" x14ac:dyDescent="0.25">
      <c r="A9" s="8"/>
      <c r="B9" s="36" t="s">
        <v>170</v>
      </c>
      <c r="C9" s="42">
        <f>GETPIVOTDATA("Sum of ROUNDUP",PivotTable!$B$1,"Shopping List Items","Boxed Mac And Cheese")</f>
        <v>3</v>
      </c>
      <c r="D9" s="14" t="s">
        <v>133</v>
      </c>
      <c r="E9" s="30">
        <f>VLOOKUP(B9,PriceSheet!$B:$D,3,0)*C9</f>
        <v>2.94</v>
      </c>
      <c r="F9" s="33"/>
      <c r="G9" s="7"/>
      <c r="H9" s="9" t="s">
        <v>116</v>
      </c>
      <c r="I9" s="10">
        <f>GETPIVOTDATA("Sum of ROUNDUP",PivotTable!$B$1,"Shopping List Items","Pancakes")</f>
        <v>2</v>
      </c>
      <c r="J9" s="13" t="s">
        <v>143</v>
      </c>
      <c r="K9" s="31">
        <f>VLOOKUP(H9,PriceSheet!$B:$D,3,0)*I9</f>
        <v>5</v>
      </c>
    </row>
    <row r="10" spans="1:11" x14ac:dyDescent="0.25">
      <c r="A10" s="8"/>
      <c r="B10" s="37" t="s">
        <v>37</v>
      </c>
      <c r="C10" s="43">
        <f>GETPIVOTDATA("Sum of ROUNDUP",PivotTable!$B$1,"Shopping List Items","Bread")</f>
        <v>6</v>
      </c>
      <c r="D10" s="13" t="s">
        <v>134</v>
      </c>
      <c r="E10" s="31">
        <f>VLOOKUP(B10,PriceSheet!$B:$D,3,0)*C10</f>
        <v>17.580000000000002</v>
      </c>
      <c r="F10" s="33"/>
      <c r="G10" s="7"/>
      <c r="H10" s="11" t="s">
        <v>119</v>
      </c>
      <c r="I10" s="12">
        <f>GETPIVOTDATA("Sum of ROUNDUP",PivotTable!$B$1,"Shopping List Items","Parmesan Cheese")</f>
        <v>1</v>
      </c>
      <c r="J10" s="14" t="s">
        <v>129</v>
      </c>
      <c r="K10" s="30">
        <f>VLOOKUP(H10,PriceSheet!$B:$D,3,0)*I10</f>
        <v>2.67</v>
      </c>
    </row>
    <row r="11" spans="1:11" x14ac:dyDescent="0.25">
      <c r="A11" s="8"/>
      <c r="B11" s="36" t="s">
        <v>123</v>
      </c>
      <c r="C11" s="42">
        <f>GETPIVOTDATA("Sum of ROUNDUP",PivotTable!$B$1,"Shopping List Items","Broccoli")</f>
        <v>2</v>
      </c>
      <c r="D11" s="14" t="s">
        <v>131</v>
      </c>
      <c r="E11" s="30">
        <f>VLOOKUP(B11,PriceSheet!$B:$D,3,0)*C11</f>
        <v>2.44</v>
      </c>
      <c r="F11" s="33"/>
      <c r="G11" s="7"/>
      <c r="H11" s="9" t="s">
        <v>49</v>
      </c>
      <c r="I11" s="10">
        <f>GETPIVOTDATA("Sum of ROUNDUP",PivotTable!$B$1,"Shopping List Items","Peanut Butter")</f>
        <v>1</v>
      </c>
      <c r="J11" s="13" t="s">
        <v>129</v>
      </c>
      <c r="K11" s="31">
        <f>VLOOKUP(H11,PriceSheet!$B:$D,3,0)*I11</f>
        <v>2.34</v>
      </c>
    </row>
    <row r="12" spans="1:11" x14ac:dyDescent="0.25">
      <c r="A12" s="8"/>
      <c r="B12" s="37" t="s">
        <v>121</v>
      </c>
      <c r="C12" s="43">
        <f>GETPIVOTDATA("Sum of ROUNDUP",PivotTable!$B$1,"Shopping List Items","Buffalo Sauce")</f>
        <v>0</v>
      </c>
      <c r="D12" s="13" t="s">
        <v>129</v>
      </c>
      <c r="E12" s="31">
        <f>VLOOKUP(B12,PriceSheet!$B:$D,3,0)*C12</f>
        <v>0</v>
      </c>
      <c r="F12" s="33"/>
      <c r="G12" s="7"/>
      <c r="H12" s="11" t="s">
        <v>43</v>
      </c>
      <c r="I12" s="12">
        <f>GETPIVOTDATA("Sum of ROUNDUP",PivotTable!$B$1,"Shopping List Items","Pesto Sauce")</f>
        <v>1</v>
      </c>
      <c r="J12" s="14" t="s">
        <v>129</v>
      </c>
      <c r="K12" s="30">
        <f>VLOOKUP(H12,PriceSheet!$B:$D,3,0)*I12</f>
        <v>2.88</v>
      </c>
    </row>
    <row r="13" spans="1:11" x14ac:dyDescent="0.25">
      <c r="A13" s="8"/>
      <c r="B13" s="36" t="s">
        <v>36</v>
      </c>
      <c r="C13" s="42">
        <f>GETPIVOTDATA("Sum of ROUNDUP",PivotTable!$B$1,"Shopping List Items","Butter")</f>
        <v>2</v>
      </c>
      <c r="D13" s="14" t="s">
        <v>133</v>
      </c>
      <c r="E13" s="30">
        <f>VLOOKUP(B13,PriceSheet!$B:$D,3,0)*C13</f>
        <v>5.96</v>
      </c>
      <c r="F13" s="33"/>
      <c r="G13" s="7"/>
      <c r="H13" s="9" t="s">
        <v>29</v>
      </c>
      <c r="I13" s="10">
        <f>GETPIVOTDATA("Sum of ROUNDUP",PivotTable!$B$1,"Shopping List Items","Pizza")</f>
        <v>2</v>
      </c>
      <c r="J13" s="13" t="s">
        <v>144</v>
      </c>
      <c r="K13" s="31">
        <f>VLOOKUP(H13,PriceSheet!$B:$D,3,0)*I13</f>
        <v>9.76</v>
      </c>
    </row>
    <row r="14" spans="1:11" x14ac:dyDescent="0.25">
      <c r="A14" s="8"/>
      <c r="B14" s="37" t="s">
        <v>69</v>
      </c>
      <c r="C14" s="43">
        <f>GETPIVOTDATA("Sum of ROUNDUP",PivotTable!$B$1,"Shopping List Items","Canned Corn")</f>
        <v>2</v>
      </c>
      <c r="D14" s="13" t="s">
        <v>135</v>
      </c>
      <c r="E14" s="31">
        <f>VLOOKUP(B14,PriceSheet!$B:$D,3,0)*C14</f>
        <v>2.36</v>
      </c>
      <c r="F14" s="33"/>
      <c r="G14" s="7"/>
      <c r="H14" s="11" t="s">
        <v>115</v>
      </c>
      <c r="I14" s="12">
        <f>GETPIVOTDATA("Sum of ROUNDUP",PivotTable!$B$1,"Shopping List Items","Pop Tarts")</f>
        <v>1</v>
      </c>
      <c r="J14" s="14" t="s">
        <v>133</v>
      </c>
      <c r="K14" s="30">
        <f>VLOOKUP(H14,PriceSheet!$B:$D,3,0)*I14</f>
        <v>3</v>
      </c>
    </row>
    <row r="15" spans="1:11" x14ac:dyDescent="0.25">
      <c r="A15" s="8"/>
      <c r="B15" s="36" t="s">
        <v>103</v>
      </c>
      <c r="C15" s="42">
        <f>GETPIVOTDATA("Sum of ROUNDUP",PivotTable!$B$1,"Shopping List Items","Canned Soup")</f>
        <v>5</v>
      </c>
      <c r="D15" s="14" t="s">
        <v>135</v>
      </c>
      <c r="E15" s="30">
        <f>VLOOKUP(B15,PriceSheet!$B:$D,3,0)*C15</f>
        <v>8.9</v>
      </c>
      <c r="F15" s="33"/>
      <c r="G15" s="7"/>
      <c r="H15" s="9" t="s">
        <v>71</v>
      </c>
      <c r="I15" s="10">
        <f>GETPIVOTDATA("Sum of ROUNDUP",PivotTable!$B$1,"Shopping List Items","Popsicle")</f>
        <v>1</v>
      </c>
      <c r="J15" s="13" t="s">
        <v>133</v>
      </c>
      <c r="K15" s="31">
        <f>VLOOKUP(H15,PriceSheet!$B:$D,3,0)*I15</f>
        <v>3.97</v>
      </c>
    </row>
    <row r="16" spans="1:11" x14ac:dyDescent="0.25">
      <c r="A16" s="8"/>
      <c r="B16" s="37" t="s">
        <v>63</v>
      </c>
      <c r="C16" s="43">
        <f>GETPIVOTDATA("Sum of ROUNDUP",PivotTable!$B$1,"Shopping List Items","Carrots")</f>
        <v>3</v>
      </c>
      <c r="D16" s="13" t="s">
        <v>131</v>
      </c>
      <c r="E16" s="31">
        <f>VLOOKUP(B16,PriceSheet!$B:$D,3,0)*C16</f>
        <v>5.82</v>
      </c>
      <c r="F16" s="33"/>
      <c r="G16" s="7"/>
      <c r="H16" s="11" t="s">
        <v>74</v>
      </c>
      <c r="I16" s="12">
        <f>GETPIVOTDATA("Sum of ROUNDUP",PivotTable!$B$1,"Shopping List Items","Pork Chop")</f>
        <v>0</v>
      </c>
      <c r="J16" s="14" t="s">
        <v>132</v>
      </c>
      <c r="K16" s="30">
        <f>VLOOKUP(H16,PriceSheet!$B:$D,3,0)*I16</f>
        <v>0</v>
      </c>
    </row>
    <row r="17" spans="1:11" x14ac:dyDescent="0.25">
      <c r="A17" s="8"/>
      <c r="B17" s="36" t="s">
        <v>53</v>
      </c>
      <c r="C17" s="42">
        <f>GETPIVOTDATA("Sum of ROUNDUP",PivotTable!$B$1,"Shopping List Items","Cereal")</f>
        <v>1</v>
      </c>
      <c r="D17" s="14" t="s">
        <v>133</v>
      </c>
      <c r="E17" s="30">
        <f>VLOOKUP(B17,PriceSheet!$B:$D,3,0)*C17</f>
        <v>3.64</v>
      </c>
      <c r="F17" s="33"/>
      <c r="G17" s="7"/>
      <c r="H17" s="9" t="s">
        <v>68</v>
      </c>
      <c r="I17" s="10">
        <f>GETPIVOTDATA("Sum of ROUNDUP",PivotTable!$B$1,"Shopping List Items","Potatoe")</f>
        <v>3</v>
      </c>
      <c r="J17" s="13" t="s">
        <v>130</v>
      </c>
      <c r="K17" s="31">
        <f>VLOOKUP(H17,PriceSheet!$B:$D,3,0)*I17</f>
        <v>2.94</v>
      </c>
    </row>
    <row r="18" spans="1:11" x14ac:dyDescent="0.25">
      <c r="A18" s="8"/>
      <c r="B18" s="37" t="s">
        <v>86</v>
      </c>
      <c r="C18" s="43">
        <f>GETPIVOTDATA("Sum of ROUNDUP",PivotTable!$B$1,"Shopping List Items","Cereal Bar")</f>
        <v>0</v>
      </c>
      <c r="D18" s="13" t="s">
        <v>133</v>
      </c>
      <c r="E18" s="31">
        <f>VLOOKUP(B18,PriceSheet!$B:$D,3,0)*C18</f>
        <v>0</v>
      </c>
      <c r="F18" s="33"/>
      <c r="G18" s="7"/>
      <c r="H18" s="11" t="s">
        <v>82</v>
      </c>
      <c r="I18" s="12">
        <f>GETPIVOTDATA("Sum of ROUNDUP",PivotTable!$B$1,"Shopping List Items","Ranch Dressing")</f>
        <v>0</v>
      </c>
      <c r="J18" s="14" t="s">
        <v>129</v>
      </c>
      <c r="K18" s="30">
        <f>VLOOKUP(H18,PriceSheet!$B:$D,3,0)*I18</f>
        <v>0</v>
      </c>
    </row>
    <row r="19" spans="1:11" x14ac:dyDescent="0.25">
      <c r="A19" s="8"/>
      <c r="B19" s="36" t="s">
        <v>39</v>
      </c>
      <c r="C19" s="42">
        <f>GETPIVOTDATA("Sum of ROUNDUP",PivotTable!$B$1,"Shopping List Items","Chicken")</f>
        <v>0</v>
      </c>
      <c r="D19" s="14" t="s">
        <v>130</v>
      </c>
      <c r="E19" s="30">
        <f>VLOOKUP(B19,PriceSheet!$B:$D,3,0)*C19</f>
        <v>0</v>
      </c>
      <c r="F19" s="33"/>
      <c r="G19" s="7"/>
      <c r="H19" s="9" t="s">
        <v>9</v>
      </c>
      <c r="I19" s="10">
        <f>GETPIVOTDATA("Sum of ROUNDUP",PivotTable!$B$1,"Shopping List Items","Ribeye")</f>
        <v>0</v>
      </c>
      <c r="J19" s="13" t="s">
        <v>130</v>
      </c>
      <c r="K19" s="31">
        <f>VLOOKUP(H19,PriceSheet!$B:$D,3,0)*I19</f>
        <v>0</v>
      </c>
    </row>
    <row r="20" spans="1:11" x14ac:dyDescent="0.25">
      <c r="A20" s="8"/>
      <c r="B20" s="37" t="s">
        <v>99</v>
      </c>
      <c r="C20" s="43">
        <f>GETPIVOTDATA("Sum of ROUNDUP",PivotTable!$B$1,"Shopping List Items","Chicken Thighs")</f>
        <v>1</v>
      </c>
      <c r="D20" s="13" t="s">
        <v>149</v>
      </c>
      <c r="E20" s="31">
        <f>VLOOKUP(B20,PriceSheet!$B:$D,3,0)*C20</f>
        <v>5.44</v>
      </c>
      <c r="F20" s="33"/>
      <c r="G20" s="7"/>
      <c r="H20" s="11" t="s">
        <v>62</v>
      </c>
      <c r="I20" s="12">
        <f>GETPIVOTDATA("Sum of ROUNDUP",PivotTable!$B$1,"Shopping List Items","Rice")</f>
        <v>4</v>
      </c>
      <c r="J20" s="14" t="s">
        <v>137</v>
      </c>
      <c r="K20" s="30">
        <f>VLOOKUP(H20,PriceSheet!$B:$D,3,0)*I20</f>
        <v>7.92</v>
      </c>
    </row>
    <row r="21" spans="1:11" x14ac:dyDescent="0.25">
      <c r="A21" s="8"/>
      <c r="B21" s="36" t="s">
        <v>81</v>
      </c>
      <c r="C21" s="14">
        <f>GETPIVOTDATA("Sum of ROUNDUP",PivotTable!$B$1,"Shopping List Items","Chicken Wings")</f>
        <v>0</v>
      </c>
      <c r="D21" s="14" t="s">
        <v>149</v>
      </c>
      <c r="E21" s="30">
        <f>VLOOKUP(B21,PriceSheet!$B:$D,3,0)*C21</f>
        <v>0</v>
      </c>
      <c r="F21" s="33"/>
      <c r="G21" s="7"/>
      <c r="H21" s="9" t="s">
        <v>10</v>
      </c>
      <c r="I21" s="10">
        <f>GETPIVOTDATA("Sum of ROUNDUP",PivotTable!$B$1,"Shopping List Items","Salmon")</f>
        <v>0</v>
      </c>
      <c r="J21" s="13" t="s">
        <v>136</v>
      </c>
      <c r="K21" s="31">
        <f>VLOOKUP(H21,PriceSheet!$B:$D,3,0)*I21</f>
        <v>0</v>
      </c>
    </row>
    <row r="22" spans="1:11" x14ac:dyDescent="0.25">
      <c r="A22" s="8"/>
      <c r="B22" s="37" t="s">
        <v>112</v>
      </c>
      <c r="C22" s="13">
        <f>GETPIVOTDATA("Sum of ROUNDUP",PivotTable!$B$1,"Shopping List Items","Chips")</f>
        <v>1</v>
      </c>
      <c r="D22" s="13" t="s">
        <v>133</v>
      </c>
      <c r="E22" s="31">
        <f>VLOOKUP(B22,PriceSheet!$B:$D,3,0)*C22</f>
        <v>8.44</v>
      </c>
      <c r="F22" s="33"/>
      <c r="G22" s="7"/>
      <c r="H22" s="11" t="s">
        <v>84</v>
      </c>
      <c r="I22" s="12">
        <f>GETPIVOTDATA("Sum of ROUNDUP",PivotTable!$B$1,"Shopping List Items","Salsa")</f>
        <v>2</v>
      </c>
      <c r="J22" s="14" t="s">
        <v>129</v>
      </c>
      <c r="K22" s="30">
        <f>VLOOKUP(H22,PriceSheet!$B:$D,3,0)*I22</f>
        <v>3.96</v>
      </c>
    </row>
    <row r="23" spans="1:11" x14ac:dyDescent="0.25">
      <c r="A23" s="8"/>
      <c r="B23" s="36" t="s">
        <v>14</v>
      </c>
      <c r="C23" s="14">
        <f>GETPIVOTDATA("Sum of ROUNDUP",PivotTable!$B$1,"Shopping List Items","Cod")</f>
        <v>0</v>
      </c>
      <c r="D23" s="14" t="s">
        <v>136</v>
      </c>
      <c r="E23" s="30">
        <f>VLOOKUP(B23,PriceSheet!$B:$D,3,0)*C23</f>
        <v>0</v>
      </c>
      <c r="F23" s="33"/>
      <c r="G23" s="7"/>
      <c r="H23" s="9" t="s">
        <v>59</v>
      </c>
      <c r="I23" s="10">
        <f>GETPIVOTDATA("Sum of ROUNDUP",PivotTable!$B$1,"Shopping List Items","Sharp Cheddar Chesse")</f>
        <v>0</v>
      </c>
      <c r="J23" s="13" t="s">
        <v>137</v>
      </c>
      <c r="K23" s="31">
        <f>VLOOKUP(H23,PriceSheet!$B:$D,3,0)*I23</f>
        <v>0</v>
      </c>
    </row>
    <row r="24" spans="1:11" x14ac:dyDescent="0.25">
      <c r="A24" s="8"/>
      <c r="B24" s="37" t="s">
        <v>38</v>
      </c>
      <c r="C24" s="13">
        <f>GETPIVOTDATA("Sum of ROUNDUP",PivotTable!$B$1,"Shopping List Items","Coffee")</f>
        <v>0</v>
      </c>
      <c r="D24" s="13" t="s">
        <v>133</v>
      </c>
      <c r="E24" s="31">
        <f>VLOOKUP(B24,PriceSheet!$B:$D,3,0)*C24</f>
        <v>0</v>
      </c>
      <c r="F24" s="33"/>
      <c r="G24" s="7"/>
      <c r="H24" s="9" t="s">
        <v>57</v>
      </c>
      <c r="I24" s="10">
        <f>GETPIVOTDATA("Sum of ROUNDUP",PivotTable!$B$1,"Shopping List Items","Shredded Cheese")</f>
        <v>1</v>
      </c>
      <c r="J24" s="13" t="s">
        <v>137</v>
      </c>
      <c r="K24" s="31">
        <f>VLOOKUP(H24,PriceSheet!$B:$D,3,0)*I24</f>
        <v>1.98</v>
      </c>
    </row>
    <row r="25" spans="1:11" x14ac:dyDescent="0.25">
      <c r="A25" s="8"/>
      <c r="B25" s="36" t="s">
        <v>67</v>
      </c>
      <c r="C25" s="14">
        <f>GETPIVOTDATA("Sum of ROUNDUP",PivotTable!$B$1,"Shopping List Items","Cookie")</f>
        <v>1</v>
      </c>
      <c r="D25" s="14" t="s">
        <v>137</v>
      </c>
      <c r="E25" s="30">
        <f>VLOOKUP(B25,PriceSheet!$B:$D,3,0)*C25</f>
        <v>4.82</v>
      </c>
      <c r="F25" s="33"/>
      <c r="G25" s="7"/>
      <c r="H25" s="11" t="s">
        <v>73</v>
      </c>
      <c r="I25" s="12">
        <f>GETPIVOTDATA("Sum of ROUNDUP",PivotTable!$B$1,"Shopping List Items","Shrimp")</f>
        <v>5</v>
      </c>
      <c r="J25" s="14" t="s">
        <v>137</v>
      </c>
      <c r="K25" s="30">
        <f>VLOOKUP(H25,PriceSheet!$B:$D,3,0)*I25</f>
        <v>28.3</v>
      </c>
    </row>
    <row r="26" spans="1:11" x14ac:dyDescent="0.25">
      <c r="A26" s="8"/>
      <c r="B26" s="37" t="s">
        <v>104</v>
      </c>
      <c r="C26" s="13">
        <f>GETPIVOTDATA("Sum of ROUNDUP",PivotTable!$B$1,"Shopping List Items","Crackers")</f>
        <v>1</v>
      </c>
      <c r="D26" s="13" t="s">
        <v>133</v>
      </c>
      <c r="E26" s="31">
        <f>VLOOKUP(B26,PriceSheet!$B:$D,3,0)*C26</f>
        <v>2.56</v>
      </c>
      <c r="F26" s="33"/>
      <c r="G26" s="7"/>
      <c r="H26" s="9" t="s">
        <v>75</v>
      </c>
      <c r="I26" s="10">
        <f>GETPIVOTDATA("Sum of ROUNDUP",PivotTable!$B$1,"Shopping List Items","Sliced Cheese")</f>
        <v>2</v>
      </c>
      <c r="J26" s="13" t="s">
        <v>132</v>
      </c>
      <c r="K26" s="31">
        <f>VLOOKUP(H26,PriceSheet!$B:$D,3,0)*I26</f>
        <v>7.94</v>
      </c>
    </row>
    <row r="27" spans="1:11" x14ac:dyDescent="0.25">
      <c r="A27" s="8"/>
      <c r="B27" s="36" t="s">
        <v>124</v>
      </c>
      <c r="C27" s="14">
        <f>GETPIVOTDATA("Sum of ROUNDUP",PivotTable!$B$1,"Shopping List Items","Cup Cake")</f>
        <v>1</v>
      </c>
      <c r="D27" s="14" t="s">
        <v>132</v>
      </c>
      <c r="E27" s="30">
        <f>VLOOKUP(B27,PriceSheet!$B:$D,3,0)*C27</f>
        <v>2.97</v>
      </c>
      <c r="F27" s="33"/>
      <c r="G27" s="7"/>
      <c r="H27" s="11" t="s">
        <v>45</v>
      </c>
      <c r="I27" s="12">
        <f>GETPIVOTDATA("Sum of ROUNDUP",PivotTable!$B$1,"Shopping List Items","Sliced Turkey")</f>
        <v>2</v>
      </c>
      <c r="J27" s="14" t="s">
        <v>132</v>
      </c>
      <c r="K27" s="30">
        <f>VLOOKUP(H27,PriceSheet!$B:$D,3,0)*I27</f>
        <v>11.96</v>
      </c>
    </row>
    <row r="28" spans="1:11" x14ac:dyDescent="0.25">
      <c r="A28" s="8"/>
      <c r="B28" s="37" t="s">
        <v>120</v>
      </c>
      <c r="C28" s="13">
        <f>GETPIVOTDATA("Sum of ROUNDUP",PivotTable!$B$1,"Shopping List Items","Dressing Of Choice")</f>
        <v>1</v>
      </c>
      <c r="D28" s="13" t="s">
        <v>129</v>
      </c>
      <c r="E28" s="31">
        <f>VLOOKUP(B28,PriceSheet!$B:$D,3,0)*C28</f>
        <v>0.92</v>
      </c>
      <c r="F28" s="33"/>
      <c r="G28" s="7"/>
      <c r="H28" s="9" t="s">
        <v>55</v>
      </c>
      <c r="I28" s="10">
        <f>GETPIVOTDATA("Sum of ROUNDUP",PivotTable!$B$1,"Shopping List Items","Sour Cream")</f>
        <v>0</v>
      </c>
      <c r="J28" s="13" t="s">
        <v>129</v>
      </c>
      <c r="K28" s="31">
        <f>VLOOKUP(H28,PriceSheet!$B:$D,3,0)*I28</f>
        <v>0</v>
      </c>
    </row>
    <row r="29" spans="1:11" x14ac:dyDescent="0.25">
      <c r="A29" s="8"/>
      <c r="B29" s="36" t="s">
        <v>85</v>
      </c>
      <c r="C29" s="14">
        <f>GETPIVOTDATA("Sum of ROUNDUP",PivotTable!$B$1,"Shopping List Items","Egg ")</f>
        <v>6</v>
      </c>
      <c r="D29" s="14" t="s">
        <v>138</v>
      </c>
      <c r="E29" s="30">
        <f>VLOOKUP(B29,PriceSheet!$B:$D,3,0)*C29</f>
        <v>29.82</v>
      </c>
      <c r="F29" s="33"/>
      <c r="G29" s="7"/>
      <c r="H29" s="9" t="s">
        <v>110</v>
      </c>
      <c r="I29" s="10">
        <f>GETPIVOTDATA("Sum of ROUNDUP",PivotTable!$B$1,"Shopping List Items","Spaghetti")</f>
        <v>0</v>
      </c>
      <c r="J29" s="13" t="s">
        <v>133</v>
      </c>
      <c r="K29" s="31">
        <f>VLOOKUP(H29,PriceSheet!$B:$D,3,0)*I29</f>
        <v>0</v>
      </c>
    </row>
    <row r="30" spans="1:11" x14ac:dyDescent="0.25">
      <c r="A30" s="8"/>
      <c r="B30" s="37" t="s">
        <v>161</v>
      </c>
      <c r="C30" s="13">
        <f>GETPIVOTDATA("Sum of ROUNDUP",PivotTable!$B$1,"Shopping List Items","Fettuccine")</f>
        <v>0</v>
      </c>
      <c r="D30" s="13" t="s">
        <v>133</v>
      </c>
      <c r="E30" s="31">
        <f>VLOOKUP(B30,PriceSheet!$B:$D,3,0)*C30</f>
        <v>0</v>
      </c>
      <c r="F30" s="33"/>
      <c r="G30" s="7"/>
      <c r="H30" s="11" t="s">
        <v>72</v>
      </c>
      <c r="I30" s="12">
        <f>GETPIVOTDATA("Sum of ROUNDUP",PivotTable!$B$1,"Shopping List Items","Spaghetti Sauce")</f>
        <v>0</v>
      </c>
      <c r="J30" s="14" t="s">
        <v>129</v>
      </c>
      <c r="K30" s="30">
        <f>VLOOKUP(H30,PriceSheet!$B:$D,3,0)*I30</f>
        <v>0</v>
      </c>
    </row>
    <row r="31" spans="1:11" x14ac:dyDescent="0.25">
      <c r="A31" s="8"/>
      <c r="B31" s="36" t="s">
        <v>12</v>
      </c>
      <c r="C31" s="14">
        <f>GETPIVOTDATA("Sum of ROUNDUP",PivotTable!$B$1,"Shopping List Items","French Fries")</f>
        <v>4</v>
      </c>
      <c r="D31" s="14" t="s">
        <v>137</v>
      </c>
      <c r="E31" s="30">
        <f>VLOOKUP(B31,PriceSheet!$B:$D,3,0)*C31</f>
        <v>11.84</v>
      </c>
      <c r="F31" s="33"/>
      <c r="G31" s="7"/>
      <c r="H31" s="9" t="s">
        <v>145</v>
      </c>
      <c r="I31" s="10">
        <f>GETPIVOTDATA("Sum of ROUNDUP",PivotTable!$B$1,"Shopping List Items","Sweet Potatoe")</f>
        <v>0</v>
      </c>
      <c r="J31" s="13" t="s">
        <v>130</v>
      </c>
      <c r="K31" s="31">
        <f>VLOOKUP(H31,PriceSheet!$B:$D,3,0)*I31</f>
        <v>0</v>
      </c>
    </row>
    <row r="32" spans="1:11" x14ac:dyDescent="0.25">
      <c r="A32" s="8"/>
      <c r="B32" s="37" t="s">
        <v>111</v>
      </c>
      <c r="C32" s="13">
        <f>GETPIVOTDATA("Sum of ROUNDUP",PivotTable!$B$1,"Shopping List Items","Fruit Snacks")</f>
        <v>0</v>
      </c>
      <c r="D32" s="13" t="s">
        <v>133</v>
      </c>
      <c r="E32" s="31">
        <f>VLOOKUP(B32,PriceSheet!$B:$D,3,0)*C32</f>
        <v>0</v>
      </c>
      <c r="F32" s="33"/>
      <c r="G32" s="7"/>
      <c r="H32" s="11" t="s">
        <v>48</v>
      </c>
      <c r="I32" s="12">
        <f>GETPIVOTDATA("Sum of ROUNDUP",PivotTable!$B$1,"Shopping List Items","Tomatoe")</f>
        <v>10</v>
      </c>
      <c r="J32" s="14" t="s">
        <v>130</v>
      </c>
      <c r="K32" s="30">
        <f>VLOOKUP(H32,PriceSheet!$B:$D,3,0)*I32</f>
        <v>9.1</v>
      </c>
    </row>
    <row r="33" spans="1:11" x14ac:dyDescent="0.25">
      <c r="A33" s="8"/>
      <c r="B33" s="36" t="s">
        <v>114</v>
      </c>
      <c r="C33" s="14">
        <f>GETPIVOTDATA("Sum of ROUNDUP",PivotTable!$B$1,"Shopping List Items","Graham Crackers")</f>
        <v>1</v>
      </c>
      <c r="D33" s="14" t="s">
        <v>133</v>
      </c>
      <c r="E33" s="30">
        <f>VLOOKUP(B33,PriceSheet!$B:$D,3,0)*C33</f>
        <v>3.22</v>
      </c>
      <c r="F33" s="33"/>
      <c r="G33" s="7"/>
      <c r="H33" s="9" t="s">
        <v>42</v>
      </c>
      <c r="I33" s="10">
        <f>GETPIVOTDATA("Sum of ROUNDUP",PivotTable!$B$1,"Shopping List Items","Torillini")</f>
        <v>2</v>
      </c>
      <c r="J33" s="13" t="s">
        <v>137</v>
      </c>
      <c r="K33" s="31">
        <f>VLOOKUP(H33,PriceSheet!$B:$D,3,0)*I33</f>
        <v>9.86</v>
      </c>
    </row>
    <row r="34" spans="1:11" x14ac:dyDescent="0.25">
      <c r="A34" s="8"/>
      <c r="B34" s="37" t="s">
        <v>52</v>
      </c>
      <c r="C34" s="13">
        <f>GETPIVOTDATA("Sum of ROUNDUP",PivotTable!$B$1,"Shopping List Items","Granola")</f>
        <v>1</v>
      </c>
      <c r="D34" s="13" t="s">
        <v>137</v>
      </c>
      <c r="E34" s="31">
        <f>VLOOKUP(B34,PriceSheet!$B:$D,3,0)*C34</f>
        <v>3.78</v>
      </c>
      <c r="F34" s="33"/>
      <c r="G34" s="7"/>
      <c r="H34" s="11" t="s">
        <v>83</v>
      </c>
      <c r="I34" s="12">
        <f>GETPIVOTDATA("Sum of ROUNDUP",PivotTable!$B$1,"Shopping List Items","Tortillas")</f>
        <v>2</v>
      </c>
      <c r="J34" s="14" t="s">
        <v>132</v>
      </c>
      <c r="K34" s="30">
        <f>VLOOKUP(H34,PriceSheet!$B:$D,3,0)*I34</f>
        <v>4.5599999999999996</v>
      </c>
    </row>
    <row r="35" spans="1:11" x14ac:dyDescent="0.25">
      <c r="A35" s="8"/>
      <c r="B35" s="36" t="s">
        <v>105</v>
      </c>
      <c r="C35" s="14">
        <f>GETPIVOTDATA("Sum of ROUNDUP",PivotTable!$B$1,"Shopping List Items","Gravy")</f>
        <v>0</v>
      </c>
      <c r="D35" s="14" t="s">
        <v>132</v>
      </c>
      <c r="E35" s="30">
        <f>VLOOKUP(B35,PriceSheet!$B:$D,3,0)*C35</f>
        <v>0</v>
      </c>
      <c r="F35" s="33"/>
      <c r="G35" s="7"/>
      <c r="H35" s="9" t="s">
        <v>117</v>
      </c>
      <c r="I35" s="10">
        <f>GETPIVOTDATA("Sum of ROUNDUP",PivotTable!$B$1,"Shopping List Items","Waffles")</f>
        <v>0</v>
      </c>
      <c r="J35" s="13" t="s">
        <v>143</v>
      </c>
      <c r="K35" s="31">
        <f>VLOOKUP(H35,PriceSheet!$B:$D,3,0)*I35</f>
        <v>0</v>
      </c>
    </row>
    <row r="36" spans="1:11" x14ac:dyDescent="0.25">
      <c r="A36" s="8"/>
      <c r="B36" s="37" t="s">
        <v>41</v>
      </c>
      <c r="C36" s="13">
        <f>GETPIVOTDATA("Sum of ROUNDUP",PivotTable!$B$1,"Shopping List Items","Ground Beef")</f>
        <v>6</v>
      </c>
      <c r="D36" s="13" t="s">
        <v>139</v>
      </c>
      <c r="E36" s="31">
        <f>VLOOKUP(B36,PriceSheet!$B:$D,3,0)*C36</f>
        <v>25.740000000000002</v>
      </c>
      <c r="F36" s="33"/>
      <c r="G36" s="7"/>
      <c r="H36" s="11" t="s">
        <v>51</v>
      </c>
      <c r="I36" s="12">
        <f>GETPIVOTDATA("Sum of ROUNDUP",PivotTable!$B$1,"Shopping List Items","Yogurt")</f>
        <v>5</v>
      </c>
      <c r="J36" s="14" t="s">
        <v>132</v>
      </c>
      <c r="K36" s="30">
        <f>VLOOKUP(H36,PriceSheet!$B:$D,3,0)*I36</f>
        <v>6.7</v>
      </c>
    </row>
    <row r="37" spans="1:11" x14ac:dyDescent="0.25">
      <c r="A37" s="8"/>
      <c r="B37" s="36" t="s">
        <v>76</v>
      </c>
      <c r="C37" s="14">
        <f>GETPIVOTDATA("Sum of ROUNDUP",PivotTable!$B$1,"Shopping List Items","Hamburger Bun")</f>
        <v>0</v>
      </c>
      <c r="D37" s="14" t="s">
        <v>132</v>
      </c>
      <c r="E37" s="30">
        <f>VLOOKUP(B37,PriceSheet!$B:$D,3,0)*C37</f>
        <v>0</v>
      </c>
      <c r="F37" s="5"/>
      <c r="K37" s="23"/>
    </row>
    <row r="38" spans="1:11" x14ac:dyDescent="0.25">
      <c r="A38" s="8"/>
      <c r="B38" s="37" t="s">
        <v>61</v>
      </c>
      <c r="C38" s="13">
        <f>GETPIVOTDATA("Sum of ROUNDUP",PivotTable!$B$1,"Shopping List Items","Heavy Whipping Cream")</f>
        <v>0</v>
      </c>
      <c r="D38" s="13" t="s">
        <v>140</v>
      </c>
      <c r="E38" s="31">
        <f>VLOOKUP(B38,PriceSheet!$B:$D,3,0)*C38</f>
        <v>0</v>
      </c>
      <c r="F38" s="5"/>
      <c r="I38" s="71" t="s">
        <v>179</v>
      </c>
      <c r="J38" s="71"/>
      <c r="K38" s="31">
        <f>DailyBudget1*7</f>
        <v>420</v>
      </c>
    </row>
    <row r="39" spans="1:11" x14ac:dyDescent="0.25">
      <c r="A39" s="8"/>
      <c r="B39" s="36" t="s">
        <v>44</v>
      </c>
      <c r="C39" s="14">
        <f>GETPIVOTDATA("Sum of ROUNDUP",PivotTable!$B$1,"Shopping List Items","Hot Dog Buns")</f>
        <v>3</v>
      </c>
      <c r="D39" s="14" t="s">
        <v>132</v>
      </c>
      <c r="E39" s="30">
        <f>VLOOKUP(B39,PriceSheet!$B:$D,3,0)*C39</f>
        <v>6.84</v>
      </c>
      <c r="F39" s="5"/>
      <c r="I39" s="70" t="s">
        <v>168</v>
      </c>
      <c r="J39" s="70"/>
      <c r="K39" s="30">
        <f>SUM(E2:E45,K2:K36)</f>
        <v>355.48000000000008</v>
      </c>
    </row>
    <row r="40" spans="1:11" x14ac:dyDescent="0.25">
      <c r="A40" s="8"/>
      <c r="B40" s="37" t="s">
        <v>27</v>
      </c>
      <c r="C40" s="13">
        <f>GETPIVOTDATA("Sum of ROUNDUP",PivotTable!$B$1,"Shopping List Items","Hot Dogs")</f>
        <v>3</v>
      </c>
      <c r="D40" s="13" t="s">
        <v>132</v>
      </c>
      <c r="E40" s="31">
        <f>VLOOKUP(B40,PriceSheet!$B:$D,3,0)*C40</f>
        <v>11.58</v>
      </c>
      <c r="F40" s="5"/>
      <c r="I40" s="71" t="s">
        <v>180</v>
      </c>
      <c r="J40" s="71"/>
      <c r="K40" s="31">
        <f>K39*0.08</f>
        <v>28.438400000000005</v>
      </c>
    </row>
    <row r="41" spans="1:11" x14ac:dyDescent="0.25">
      <c r="A41" s="8"/>
      <c r="B41" s="36" t="s">
        <v>70</v>
      </c>
      <c r="C41" s="14">
        <f>GETPIVOTDATA("Sum of ROUNDUP",PivotTable!$B$1,"Shopping List Items","Ice Cream")</f>
        <v>1</v>
      </c>
      <c r="D41" s="14" t="s">
        <v>141</v>
      </c>
      <c r="E41" s="30">
        <f>VLOOKUP(B41,PriceSheet!$B:$D,3,0)*C41</f>
        <v>2.97</v>
      </c>
      <c r="F41" s="5"/>
      <c r="I41" s="72" t="s">
        <v>169</v>
      </c>
      <c r="J41" s="73"/>
      <c r="K41" s="30">
        <f>SUM(K39:K40)</f>
        <v>383.91840000000008</v>
      </c>
    </row>
    <row r="42" spans="1:11" x14ac:dyDescent="0.25">
      <c r="A42" s="8"/>
      <c r="B42" s="37" t="s">
        <v>106</v>
      </c>
      <c r="C42" s="13">
        <f>GETPIVOTDATA("Sum of ROUNDUP",PivotTable!$B$1,"Shopping List Items","Iceberg Lettuce")</f>
        <v>7</v>
      </c>
      <c r="D42" s="13" t="s">
        <v>142</v>
      </c>
      <c r="E42" s="31">
        <f>VLOOKUP(B42,PriceSheet!$B:$D,3,0)*C42</f>
        <v>10.36</v>
      </c>
      <c r="F42" s="5"/>
      <c r="K42" s="23"/>
    </row>
    <row r="43" spans="1:11" x14ac:dyDescent="0.25">
      <c r="A43" s="8"/>
      <c r="B43" s="36" t="s">
        <v>50</v>
      </c>
      <c r="C43" s="14">
        <f>GETPIVOTDATA("Sum of ROUNDUP",PivotTable!$B$1,"Shopping List Items","Jelly")</f>
        <v>1</v>
      </c>
      <c r="D43" s="14" t="s">
        <v>129</v>
      </c>
      <c r="E43" s="30">
        <f>VLOOKUP(B43,PriceSheet!$B:$D,3,0)*C43</f>
        <v>2.92</v>
      </c>
      <c r="F43" s="5"/>
      <c r="K43" s="23"/>
    </row>
    <row r="44" spans="1:11" x14ac:dyDescent="0.25">
      <c r="A44" s="8"/>
      <c r="B44" s="37" t="s">
        <v>77</v>
      </c>
      <c r="C44" s="13">
        <f>GETPIVOTDATA("Sum of ROUNDUP",PivotTable!$B$1,"Shopping List Items","Ketchup")</f>
        <v>0</v>
      </c>
      <c r="D44" s="13" t="s">
        <v>129</v>
      </c>
      <c r="E44" s="31">
        <f>VLOOKUP(B44,PriceSheet!$B:$D,3,0)*C44</f>
        <v>0</v>
      </c>
      <c r="F44" s="5"/>
      <c r="K44" s="23"/>
    </row>
    <row r="45" spans="1:11" x14ac:dyDescent="0.25">
      <c r="A45" s="8"/>
      <c r="B45" s="36" t="s">
        <v>58</v>
      </c>
      <c r="C45" s="14">
        <f>GETPIVOTDATA("Sum of ROUNDUP",PivotTable!$B$1,"Shopping List Items","Large Elbow Noodles")</f>
        <v>0</v>
      </c>
      <c r="D45" s="14" t="s">
        <v>133</v>
      </c>
      <c r="E45" s="30">
        <f>VLOOKUP(B45,PriceSheet!$B:$D,3,0)*C45</f>
        <v>0</v>
      </c>
      <c r="F45" s="5"/>
      <c r="K45" s="23"/>
    </row>
    <row r="46" spans="1:11" x14ac:dyDescent="0.25">
      <c r="E46" s="23"/>
      <c r="F46" s="5"/>
      <c r="K46" s="23"/>
    </row>
    <row r="47" spans="1:11" x14ac:dyDescent="0.25">
      <c r="E47" s="23"/>
      <c r="F47" s="5"/>
      <c r="K47" s="23"/>
    </row>
    <row r="48" spans="1:11" x14ac:dyDescent="0.25">
      <c r="A48" s="44"/>
      <c r="B48" s="44"/>
      <c r="D48" s="44"/>
      <c r="E48" s="59"/>
      <c r="F48" s="44"/>
      <c r="G48" s="44"/>
      <c r="H48" s="44"/>
      <c r="I48" s="44"/>
      <c r="J48" s="44"/>
      <c r="K48" s="59"/>
    </row>
    <row r="49" spans="1:11" x14ac:dyDescent="0.25">
      <c r="A49" s="44"/>
      <c r="B49" s="44"/>
      <c r="D49" s="44"/>
      <c r="E49" s="59"/>
      <c r="F49" s="44"/>
      <c r="G49" s="44"/>
      <c r="H49" s="44"/>
      <c r="I49" s="44"/>
      <c r="J49" s="44"/>
      <c r="K49" s="59"/>
    </row>
    <row r="50" spans="1:11" x14ac:dyDescent="0.25">
      <c r="A50" s="44"/>
      <c r="B50" s="44"/>
      <c r="D50" s="44"/>
      <c r="E50" s="59"/>
      <c r="F50" s="44"/>
      <c r="G50" s="44"/>
      <c r="H50" s="44"/>
      <c r="I50" s="44"/>
      <c r="J50" s="44"/>
      <c r="K50" s="59"/>
    </row>
    <row r="51" spans="1:11" x14ac:dyDescent="0.25">
      <c r="A51" s="44"/>
      <c r="B51" s="44"/>
      <c r="D51" s="44"/>
      <c r="E51" s="59"/>
      <c r="F51" s="44"/>
      <c r="G51" s="44"/>
      <c r="H51" s="44"/>
      <c r="I51" s="44"/>
      <c r="J51" s="44"/>
      <c r="K51" s="59"/>
    </row>
    <row r="52" spans="1:11" x14ac:dyDescent="0.25">
      <c r="A52" s="44"/>
      <c r="B52" s="44"/>
      <c r="D52" s="44"/>
      <c r="E52" s="59"/>
      <c r="F52" s="44"/>
      <c r="G52" s="44"/>
      <c r="H52" s="44"/>
      <c r="I52" s="44"/>
      <c r="J52" s="44"/>
      <c r="K52" s="59"/>
    </row>
    <row r="53" spans="1:11" x14ac:dyDescent="0.25">
      <c r="A53" s="44"/>
      <c r="B53" s="44"/>
      <c r="D53" s="44"/>
      <c r="E53" s="59"/>
      <c r="F53" s="44"/>
      <c r="G53" s="44"/>
      <c r="H53" s="44"/>
      <c r="I53" s="44"/>
      <c r="J53" s="44"/>
      <c r="K53" s="59"/>
    </row>
    <row r="54" spans="1:11" x14ac:dyDescent="0.25">
      <c r="A54" s="44"/>
      <c r="B54" s="44"/>
      <c r="D54" s="44"/>
      <c r="E54" s="59"/>
      <c r="F54" s="44"/>
      <c r="G54" s="44"/>
      <c r="H54" s="44"/>
      <c r="I54" s="44"/>
      <c r="J54" s="44"/>
      <c r="K54" s="59"/>
    </row>
    <row r="55" spans="1:11" x14ac:dyDescent="0.25">
      <c r="A55" s="44"/>
      <c r="B55" s="44"/>
      <c r="D55" s="44"/>
      <c r="E55" s="59"/>
      <c r="F55" s="44"/>
      <c r="G55" s="44"/>
      <c r="H55" s="44"/>
      <c r="I55" s="44"/>
      <c r="J55" s="44"/>
      <c r="K55" s="59"/>
    </row>
    <row r="56" spans="1:11" x14ac:dyDescent="0.25">
      <c r="A56" s="44"/>
      <c r="B56" s="44"/>
      <c r="D56" s="44"/>
      <c r="E56" s="59"/>
      <c r="F56" s="44"/>
      <c r="G56" s="44"/>
      <c r="H56" s="44"/>
      <c r="I56" s="44"/>
      <c r="J56" s="44"/>
      <c r="K56" s="59"/>
    </row>
    <row r="57" spans="1:11" x14ac:dyDescent="0.25">
      <c r="A57" s="44"/>
      <c r="B57" s="44"/>
      <c r="D57" s="44"/>
      <c r="E57" s="59"/>
      <c r="F57" s="44"/>
      <c r="G57" s="44"/>
      <c r="H57" s="44"/>
      <c r="I57" s="44"/>
      <c r="J57" s="44"/>
      <c r="K57" s="59"/>
    </row>
    <row r="58" spans="1:11" x14ac:dyDescent="0.25">
      <c r="A58" s="44"/>
      <c r="B58" s="44"/>
      <c r="D58" s="44"/>
      <c r="E58" s="59"/>
      <c r="F58" s="44"/>
      <c r="G58" s="44"/>
      <c r="H58" s="44"/>
      <c r="I58" s="44"/>
      <c r="J58" s="44"/>
      <c r="K58" s="59"/>
    </row>
    <row r="59" spans="1:11" x14ac:dyDescent="0.25">
      <c r="A59" s="44"/>
      <c r="B59" s="44"/>
      <c r="D59" s="44"/>
      <c r="E59" s="59"/>
      <c r="F59" s="44"/>
      <c r="G59" s="44"/>
      <c r="H59" s="44"/>
      <c r="I59" s="44"/>
      <c r="J59" s="44"/>
      <c r="K59" s="59"/>
    </row>
    <row r="60" spans="1:11" x14ac:dyDescent="0.25">
      <c r="A60" s="44"/>
      <c r="B60" s="44"/>
      <c r="D60" s="44"/>
      <c r="E60" s="59"/>
      <c r="F60" s="44"/>
      <c r="G60" s="44"/>
      <c r="H60" s="44"/>
      <c r="I60" s="44"/>
      <c r="J60" s="44"/>
      <c r="K60" s="59"/>
    </row>
    <row r="61" spans="1:11" x14ac:dyDescent="0.25">
      <c r="A61" s="44"/>
      <c r="B61" s="44"/>
      <c r="D61" s="44"/>
      <c r="E61" s="59"/>
      <c r="F61" s="44"/>
      <c r="G61" s="44"/>
      <c r="H61" s="44"/>
      <c r="I61" s="44"/>
      <c r="J61" s="44"/>
      <c r="K61" s="59"/>
    </row>
    <row r="62" spans="1:11" x14ac:dyDescent="0.25">
      <c r="A62" s="44"/>
      <c r="B62" s="44"/>
      <c r="D62" s="44"/>
      <c r="E62" s="59"/>
      <c r="F62" s="44"/>
      <c r="G62" s="44"/>
      <c r="H62" s="44"/>
      <c r="I62" s="44"/>
      <c r="J62" s="44"/>
      <c r="K62" s="59"/>
    </row>
    <row r="63" spans="1:11" x14ac:dyDescent="0.25">
      <c r="A63" s="44"/>
      <c r="B63" s="44"/>
      <c r="D63" s="44"/>
      <c r="E63" s="59"/>
      <c r="F63" s="44"/>
      <c r="G63" s="44"/>
      <c r="H63" s="44"/>
      <c r="I63" s="44"/>
      <c r="J63" s="44"/>
      <c r="K63" s="59"/>
    </row>
    <row r="64" spans="1:11" x14ac:dyDescent="0.25">
      <c r="A64" s="44"/>
      <c r="B64" s="44"/>
      <c r="D64" s="44"/>
      <c r="E64" s="59"/>
      <c r="F64" s="44"/>
      <c r="G64" s="44"/>
      <c r="H64" s="44"/>
      <c r="I64" s="44"/>
      <c r="J64" s="44"/>
      <c r="K64" s="59"/>
    </row>
    <row r="65" spans="1:11" x14ac:dyDescent="0.25">
      <c r="A65" s="44"/>
      <c r="B65" s="44"/>
      <c r="D65" s="44"/>
      <c r="E65" s="59"/>
      <c r="F65" s="44"/>
      <c r="G65" s="44"/>
      <c r="H65" s="44"/>
      <c r="I65" s="44"/>
      <c r="J65" s="44"/>
      <c r="K65" s="59"/>
    </row>
    <row r="66" spans="1:11" x14ac:dyDescent="0.25">
      <c r="A66" s="18"/>
    </row>
    <row r="67" spans="1:11" x14ac:dyDescent="0.25">
      <c r="A67" s="18"/>
    </row>
    <row r="68" spans="1:11" x14ac:dyDescent="0.25">
      <c r="A68" s="18"/>
    </row>
    <row r="69" spans="1:11" x14ac:dyDescent="0.25">
      <c r="A69" s="18"/>
    </row>
    <row r="70" spans="1:11" x14ac:dyDescent="0.25">
      <c r="A70" s="18"/>
    </row>
    <row r="71" spans="1:11" x14ac:dyDescent="0.25">
      <c r="A71" s="18"/>
    </row>
    <row r="72" spans="1:11" x14ac:dyDescent="0.25">
      <c r="A72" s="18"/>
    </row>
    <row r="73" spans="1:11" x14ac:dyDescent="0.25">
      <c r="A73" s="18"/>
    </row>
    <row r="74" spans="1:11" x14ac:dyDescent="0.25">
      <c r="A74" s="18"/>
    </row>
    <row r="75" spans="1:11" x14ac:dyDescent="0.25">
      <c r="A75" s="18"/>
    </row>
    <row r="76" spans="1:11" x14ac:dyDescent="0.25">
      <c r="A76" s="18"/>
    </row>
    <row r="77" spans="1:11" x14ac:dyDescent="0.25">
      <c r="A77" s="18"/>
    </row>
    <row r="78" spans="1:11" x14ac:dyDescent="0.25">
      <c r="A78" s="18"/>
    </row>
    <row r="79" spans="1:11" x14ac:dyDescent="0.25">
      <c r="A79" s="18"/>
    </row>
    <row r="80" spans="1:11" x14ac:dyDescent="0.25">
      <c r="A80" s="18"/>
    </row>
    <row r="81" spans="1:1" x14ac:dyDescent="0.25">
      <c r="A81" s="18"/>
    </row>
    <row r="82" spans="1:1" x14ac:dyDescent="0.25">
      <c r="A82"/>
    </row>
  </sheetData>
  <mergeCells count="4">
    <mergeCell ref="I39:J39"/>
    <mergeCell ref="I40:J40"/>
    <mergeCell ref="I41:J41"/>
    <mergeCell ref="I38:J38"/>
  </mergeCells>
  <conditionalFormatting sqref="K41">
    <cfRule type="expression" dxfId="59" priority="5">
      <formula>$K$41&lt;$K$38</formula>
    </cfRule>
    <cfRule type="expression" dxfId="58" priority="6">
      <formula>$K$41&gt;$K$38</formula>
    </cfRule>
  </conditionalFormatting>
  <conditionalFormatting sqref="I41">
    <cfRule type="expression" dxfId="57" priority="1">
      <formula>$K$41&lt;$K$38</formula>
    </cfRule>
    <cfRule type="expression" dxfId="56" priority="2">
      <formula>$K$41&gt;$K$38</formula>
    </cfRule>
  </conditionalFormatting>
  <pageMargins left="0.25" right="0.25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GroceryList_Print_Click">
                <anchor moveWithCells="1" sizeWithCells="1">
                  <from>
                    <xdr:col>12</xdr:col>
                    <xdr:colOff>390525</xdr:colOff>
                    <xdr:row>1</xdr:row>
                    <xdr:rowOff>66675</xdr:rowOff>
                  </from>
                  <to>
                    <xdr:col>16</xdr:col>
                    <xdr:colOff>571500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owBanner_Click">
                <anchor moveWithCells="1" sizeWithCells="1">
                  <from>
                    <xdr:col>19</xdr:col>
                    <xdr:colOff>76200</xdr:colOff>
                    <xdr:row>1</xdr:row>
                    <xdr:rowOff>152400</xdr:rowOff>
                  </from>
                  <to>
                    <xdr:col>21</xdr:col>
                    <xdr:colOff>266700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FBCEC-D684-4552-A2E1-EBB37387490D}">
  <sheetPr codeName="Sheet2"/>
  <dimension ref="A1:D59"/>
  <sheetViews>
    <sheetView workbookViewId="0">
      <selection activeCell="A7" sqref="A7"/>
    </sheetView>
  </sheetViews>
  <sheetFormatPr defaultRowHeight="15" x14ac:dyDescent="0.25"/>
  <cols>
    <col min="1" max="1" width="16.7109375" customWidth="1"/>
    <col min="2" max="4" width="26.7109375" customWidth="1"/>
    <col min="5" max="9" width="27.7109375" customWidth="1"/>
  </cols>
  <sheetData>
    <row r="1" spans="1:4" x14ac:dyDescent="0.25">
      <c r="A1" s="1" t="s">
        <v>0</v>
      </c>
      <c r="B1" s="1" t="s">
        <v>2</v>
      </c>
      <c r="C1" s="1" t="s">
        <v>125</v>
      </c>
      <c r="D1" s="1" t="s">
        <v>174</v>
      </c>
    </row>
    <row r="2" spans="1:4" x14ac:dyDescent="0.25">
      <c r="A2" s="2" t="s">
        <v>15</v>
      </c>
      <c r="B2" s="2" t="s">
        <v>111</v>
      </c>
      <c r="C2" s="2">
        <f>COUNTIF(Meal_Planner!$B$4:$N$21,Meal_Counter!B2)</f>
        <v>0</v>
      </c>
      <c r="D2" s="21">
        <f>VLOOKUP(B2,MealPlannerPrice!B:G,6,0)</f>
        <v>0.44000000000000006</v>
      </c>
    </row>
    <row r="3" spans="1:4" x14ac:dyDescent="0.25">
      <c r="A3" s="2" t="s">
        <v>15</v>
      </c>
      <c r="B3" s="2" t="s">
        <v>112</v>
      </c>
      <c r="C3" s="2">
        <f>COUNTIF(Meal_Planner!$B$4:$N$21,Meal_Counter!B3)</f>
        <v>1</v>
      </c>
      <c r="D3" s="21">
        <f>VLOOKUP(B3,MealPlannerPrice!B:G,6,0)</f>
        <v>0.42199999999999999</v>
      </c>
    </row>
    <row r="4" spans="1:4" x14ac:dyDescent="0.25">
      <c r="A4" s="2" t="s">
        <v>15</v>
      </c>
      <c r="B4" s="2" t="s">
        <v>64</v>
      </c>
      <c r="C4" s="2">
        <f>COUNTIF(Meal_Planner!$B$4:$N$21,Meal_Counter!B4)</f>
        <v>2</v>
      </c>
      <c r="D4" s="21">
        <f>VLOOKUP(B4,MealPlannerPrice!B:G,6,0)</f>
        <v>0.74</v>
      </c>
    </row>
    <row r="5" spans="1:4" x14ac:dyDescent="0.25">
      <c r="A5" s="2" t="s">
        <v>15</v>
      </c>
      <c r="B5" s="2" t="s">
        <v>65</v>
      </c>
      <c r="C5" s="2">
        <f>COUNTIF(Meal_Planner!$B$4:$N$21,Meal_Counter!B5)</f>
        <v>3</v>
      </c>
      <c r="D5" s="21">
        <f>VLOOKUP(B5,MealPlannerPrice!B:G,6,0)</f>
        <v>0.24</v>
      </c>
    </row>
    <row r="6" spans="1:4" x14ac:dyDescent="0.25">
      <c r="A6" s="2" t="s">
        <v>15</v>
      </c>
      <c r="B6" s="2" t="s">
        <v>66</v>
      </c>
      <c r="C6" s="2">
        <f>COUNTIF(Meal_Planner!$B$4:$N$21,Meal_Counter!B6)</f>
        <v>1</v>
      </c>
      <c r="D6" s="21">
        <f>VLOOKUP(B6,MealPlannerPrice!B:G,6,0)</f>
        <v>1.536</v>
      </c>
    </row>
    <row r="7" spans="1:4" x14ac:dyDescent="0.25">
      <c r="A7" s="2" t="s">
        <v>15</v>
      </c>
      <c r="B7" s="2" t="s">
        <v>113</v>
      </c>
      <c r="C7" s="2">
        <f>COUNTIF(Meal_Planner!$B$4:$N$21,Meal_Counter!B7)</f>
        <v>1</v>
      </c>
      <c r="D7" s="21">
        <f>VLOOKUP(B7,MealPlannerPrice!B:G,6,0)</f>
        <v>0.59750000000000003</v>
      </c>
    </row>
    <row r="8" spans="1:4" x14ac:dyDescent="0.25">
      <c r="A8" s="2" t="s">
        <v>15</v>
      </c>
      <c r="B8" s="2" t="s">
        <v>114</v>
      </c>
      <c r="C8" s="2">
        <f>COUNTIF(Meal_Planner!$B$4:$N$21,Meal_Counter!B8)</f>
        <v>1</v>
      </c>
      <c r="D8" s="21">
        <f>VLOOKUP(B8,MealPlannerPrice!B:G,6,0)</f>
        <v>0.40250000000000002</v>
      </c>
    </row>
    <row r="9" spans="1:4" x14ac:dyDescent="0.25">
      <c r="A9" s="2" t="s">
        <v>23</v>
      </c>
      <c r="B9" s="2" t="s">
        <v>51</v>
      </c>
      <c r="C9" s="2">
        <f>COUNTIF(Meal_Planner!$B$4:$N$21,Meal_Counter!B9)</f>
        <v>1</v>
      </c>
      <c r="D9" s="21">
        <f>VLOOKUP(B9,MealPlannerPrice!B:G,6,0)</f>
        <v>1.34</v>
      </c>
    </row>
    <row r="10" spans="1:4" x14ac:dyDescent="0.25">
      <c r="A10" s="2" t="s">
        <v>23</v>
      </c>
      <c r="B10" s="2" t="s">
        <v>95</v>
      </c>
      <c r="C10" s="2">
        <f>COUNTIF(Meal_Planner!$B$4:$N$21,Meal_Counter!B10)</f>
        <v>3</v>
      </c>
      <c r="D10" s="21">
        <f>VLOOKUP(B10,MealPlannerPrice!B:G,6,0)</f>
        <v>0.36625000000000002</v>
      </c>
    </row>
    <row r="11" spans="1:4" x14ac:dyDescent="0.25">
      <c r="A11" s="2" t="s">
        <v>23</v>
      </c>
      <c r="B11" s="2" t="s">
        <v>115</v>
      </c>
      <c r="C11" s="2">
        <f>COUNTIF(Meal_Planner!$B$4:$N$21,Meal_Counter!B11)</f>
        <v>1</v>
      </c>
      <c r="D11" s="21">
        <f>VLOOKUP(B11,MealPlannerPrice!B:G,6,0)</f>
        <v>0.375</v>
      </c>
    </row>
    <row r="12" spans="1:4" x14ac:dyDescent="0.25">
      <c r="A12" s="2" t="s">
        <v>23</v>
      </c>
      <c r="B12" s="2" t="s">
        <v>86</v>
      </c>
      <c r="C12" s="2">
        <f>COUNTIF(Meal_Planner!$B$4:$N$21,Meal_Counter!B12)</f>
        <v>0</v>
      </c>
      <c r="D12" s="21">
        <f>VLOOKUP(B12,MealPlannerPrice!B:G,6,0)</f>
        <v>0.68500000000000005</v>
      </c>
    </row>
    <row r="13" spans="1:4" x14ac:dyDescent="0.25">
      <c r="A13" s="2" t="s">
        <v>23</v>
      </c>
      <c r="B13" s="2" t="s">
        <v>38</v>
      </c>
      <c r="C13" s="2">
        <f>COUNTIF(Meal_Planner!$B$4:$N$21,Meal_Counter!B13)</f>
        <v>0</v>
      </c>
      <c r="D13" s="21">
        <f>VLOOKUP(B13,MealPlannerPrice!B:G,6,0)</f>
        <v>0.32666666666666666</v>
      </c>
    </row>
    <row r="14" spans="1:4" x14ac:dyDescent="0.25">
      <c r="A14" s="2" t="s">
        <v>23</v>
      </c>
      <c r="B14" s="2" t="s">
        <v>171</v>
      </c>
      <c r="C14" s="2">
        <f>COUNTIF(Meal_Planner!$B$4:$N$21,Meal_Counter!B14)</f>
        <v>3</v>
      </c>
      <c r="D14" s="21">
        <f>VLOOKUP(B14,MealPlannerPrice!B:G,6,0)</f>
        <v>1.6898</v>
      </c>
    </row>
    <row r="15" spans="1:4" x14ac:dyDescent="0.25">
      <c r="A15" s="2" t="s">
        <v>23</v>
      </c>
      <c r="B15" s="2" t="s">
        <v>54</v>
      </c>
      <c r="C15" s="2">
        <f>COUNTIF(Meal_Planner!$B$4:$N$21,Meal_Counter!B15)</f>
        <v>1</v>
      </c>
      <c r="D15" s="21">
        <f>VLOOKUP(B15,MealPlannerPrice!B:G,6,0)</f>
        <v>0.57833333333333337</v>
      </c>
    </row>
    <row r="16" spans="1:4" x14ac:dyDescent="0.25">
      <c r="A16" s="2" t="s">
        <v>23</v>
      </c>
      <c r="B16" s="2" t="s">
        <v>80</v>
      </c>
      <c r="C16" s="2">
        <f>COUNTIF(Meal_Planner!$B$4:$N$21,Meal_Counter!B16)</f>
        <v>1</v>
      </c>
      <c r="D16" s="21">
        <f>VLOOKUP(B16,MealPlannerPrice!B:G,6,0)</f>
        <v>0.495</v>
      </c>
    </row>
    <row r="17" spans="1:4" x14ac:dyDescent="0.25">
      <c r="A17" s="2" t="s">
        <v>23</v>
      </c>
      <c r="B17" s="2" t="s">
        <v>105</v>
      </c>
      <c r="C17" s="2">
        <f>COUNTIF(Meal_Planner!$B$4:$N$21,Meal_Counter!B17)</f>
        <v>0</v>
      </c>
      <c r="D17" s="21">
        <f>VLOOKUP(B17,MealPlannerPrice!B:G,6,0)</f>
        <v>0.22</v>
      </c>
    </row>
    <row r="18" spans="1:4" x14ac:dyDescent="0.25">
      <c r="A18" s="2" t="s">
        <v>23</v>
      </c>
      <c r="B18" s="2" t="s">
        <v>116</v>
      </c>
      <c r="C18" s="2">
        <f>COUNTIF(Meal_Planner!$B$4:$N$21,Meal_Counter!B18)</f>
        <v>2</v>
      </c>
      <c r="D18" s="21">
        <f>VLOOKUP(B18,MealPlannerPrice!B:G,6,0)</f>
        <v>0.5</v>
      </c>
    </row>
    <row r="19" spans="1:4" x14ac:dyDescent="0.25">
      <c r="A19" s="2" t="s">
        <v>23</v>
      </c>
      <c r="B19" s="2" t="s">
        <v>117</v>
      </c>
      <c r="C19" s="2">
        <f>COUNTIF(Meal_Planner!$B$4:$N$21,Meal_Counter!B19)</f>
        <v>0</v>
      </c>
      <c r="D19" s="21">
        <f>VLOOKUP(B19,MealPlannerPrice!B:G,6,0)</f>
        <v>0.434</v>
      </c>
    </row>
    <row r="20" spans="1:4" x14ac:dyDescent="0.25">
      <c r="A20" s="2" t="s">
        <v>23</v>
      </c>
      <c r="B20" s="2" t="s">
        <v>53</v>
      </c>
      <c r="C20" s="2">
        <f>COUNTIF(Meal_Planner!$B$4:$N$21,Meal_Counter!B20)</f>
        <v>1</v>
      </c>
      <c r="D20" s="21">
        <f>VLOOKUP(B20,MealPlannerPrice!B:G,6,0)</f>
        <v>0.30333333333333334</v>
      </c>
    </row>
    <row r="21" spans="1:4" x14ac:dyDescent="0.25">
      <c r="A21" s="2" t="s">
        <v>23</v>
      </c>
      <c r="B21" s="2" t="s">
        <v>52</v>
      </c>
      <c r="C21" s="2">
        <f>COUNTIF(Meal_Planner!$B$4:$N$21,Meal_Counter!B21)</f>
        <v>1</v>
      </c>
      <c r="D21" s="21">
        <f>VLOOKUP(B21,MealPlannerPrice!B:G,6,0)</f>
        <v>0.31499999999999995</v>
      </c>
    </row>
    <row r="22" spans="1:4" x14ac:dyDescent="0.25">
      <c r="A22" s="2" t="s">
        <v>24</v>
      </c>
      <c r="B22" s="2" t="s">
        <v>150</v>
      </c>
      <c r="C22" s="2">
        <f>COUNTIF(Meal_Planner!$B$4:$N$21,Meal_Counter!B22)</f>
        <v>1</v>
      </c>
      <c r="D22" s="21">
        <f>VLOOKUP(B22,MealPlannerPrice!B:G,6,0)</f>
        <v>1.125</v>
      </c>
    </row>
    <row r="23" spans="1:4" x14ac:dyDescent="0.25">
      <c r="A23" s="2" t="s">
        <v>24</v>
      </c>
      <c r="B23" s="2" t="s">
        <v>151</v>
      </c>
      <c r="C23" s="2">
        <f>COUNTIF(Meal_Planner!$B$4:$N$21,Meal_Counter!B23)</f>
        <v>2</v>
      </c>
      <c r="D23" s="21">
        <f>VLOOKUP(B23,MealPlannerPrice!B:G,6,0)</f>
        <v>3.7333333333333334</v>
      </c>
    </row>
    <row r="24" spans="1:4" x14ac:dyDescent="0.25">
      <c r="A24" s="2" t="s">
        <v>24</v>
      </c>
      <c r="B24" s="2" t="s">
        <v>27</v>
      </c>
      <c r="C24" s="2">
        <f>COUNTIF(Meal_Planner!$B$4:$N$21,Meal_Counter!B24)</f>
        <v>2</v>
      </c>
      <c r="D24" s="21">
        <f>VLOOKUP(B24,MealPlannerPrice!B:G,6,0)</f>
        <v>2.65625</v>
      </c>
    </row>
    <row r="25" spans="1:4" x14ac:dyDescent="0.25">
      <c r="A25" s="2" t="s">
        <v>24</v>
      </c>
      <c r="B25" s="2" t="s">
        <v>102</v>
      </c>
      <c r="C25" s="2">
        <f>COUNTIF(Meal_Planner!$B$4:$N$21,Meal_Counter!B25)</f>
        <v>1</v>
      </c>
      <c r="D25" s="21">
        <f>VLOOKUP(B25,MealPlannerPrice!B:G,6,0)</f>
        <v>5.25</v>
      </c>
    </row>
    <row r="26" spans="1:4" x14ac:dyDescent="0.25">
      <c r="A26" s="2" t="s">
        <v>24</v>
      </c>
      <c r="B26" s="2" t="s">
        <v>28</v>
      </c>
      <c r="C26" s="2">
        <f>COUNTIF(Meal_Planner!$B$4:$N$21,Meal_Counter!B26)</f>
        <v>3</v>
      </c>
      <c r="D26" s="21">
        <f>VLOOKUP(B26,MealPlannerPrice!B:G,6,0)</f>
        <v>0.78125</v>
      </c>
    </row>
    <row r="27" spans="1:4" x14ac:dyDescent="0.25">
      <c r="A27" s="2" t="s">
        <v>24</v>
      </c>
      <c r="B27" s="2" t="s">
        <v>152</v>
      </c>
      <c r="C27" s="2">
        <f>COUNTIF(Meal_Planner!$B$4:$N$21,Meal_Counter!B27)</f>
        <v>1</v>
      </c>
      <c r="D27" s="21">
        <f>VLOOKUP(B27,MealPlannerPrice!B:G,6,0)</f>
        <v>2.890625</v>
      </c>
    </row>
    <row r="28" spans="1:4" x14ac:dyDescent="0.25">
      <c r="A28" s="2" t="s">
        <v>94</v>
      </c>
      <c r="B28" s="2" t="s">
        <v>11</v>
      </c>
      <c r="C28" s="2">
        <f>COUNTIF(Meal_Planner!$B$4:$N$21,Meal_Counter!B28)</f>
        <v>0</v>
      </c>
      <c r="D28" s="21">
        <f>VLOOKUP(B28,MealPlannerPrice!B:G,6,0)</f>
        <v>4.1500000000000004</v>
      </c>
    </row>
    <row r="29" spans="1:4" x14ac:dyDescent="0.25">
      <c r="A29" s="2" t="s">
        <v>94</v>
      </c>
      <c r="B29" s="2" t="s">
        <v>29</v>
      </c>
      <c r="C29" s="2">
        <f>COUNTIF(Meal_Planner!$B$4:$N$21,Meal_Counter!B29)</f>
        <v>1</v>
      </c>
      <c r="D29" s="21">
        <f>VLOOKUP(B29,MealPlannerPrice!B:G,6,0)</f>
        <v>1.6500000000000001</v>
      </c>
    </row>
    <row r="30" spans="1:4" x14ac:dyDescent="0.25">
      <c r="A30" s="2" t="s">
        <v>94</v>
      </c>
      <c r="B30" s="2" t="s">
        <v>13</v>
      </c>
      <c r="C30" s="2">
        <f>COUNTIF(Meal_Planner!$B$4:$N$21,Meal_Counter!B30)</f>
        <v>1</v>
      </c>
      <c r="D30" s="21">
        <f>VLOOKUP(B30,MealPlannerPrice!B:G,6,0)</f>
        <v>3.15625</v>
      </c>
    </row>
    <row r="31" spans="1:4" x14ac:dyDescent="0.25">
      <c r="A31" s="2" t="s">
        <v>94</v>
      </c>
      <c r="B31" s="2" t="s">
        <v>97</v>
      </c>
      <c r="C31" s="2">
        <f>COUNTIF(Meal_Planner!$B$4:$N$21,Meal_Counter!B31)</f>
        <v>1</v>
      </c>
      <c r="D31" s="21">
        <f>VLOOKUP(B31,MealPlannerPrice!B:G,6,0)</f>
        <v>3.3062499999999999</v>
      </c>
    </row>
    <row r="32" spans="1:4" x14ac:dyDescent="0.25">
      <c r="A32" s="2" t="s">
        <v>94</v>
      </c>
      <c r="B32" s="2" t="s">
        <v>98</v>
      </c>
      <c r="C32" s="2">
        <f>COUNTIF(Meal_Planner!$B$4:$N$21,Meal_Counter!B32)</f>
        <v>1</v>
      </c>
      <c r="D32" s="21">
        <f>VLOOKUP(B32,MealPlannerPrice!B:G,6,0)</f>
        <v>3.3062499999999999</v>
      </c>
    </row>
    <row r="33" spans="1:4" x14ac:dyDescent="0.25">
      <c r="A33" s="2" t="s">
        <v>94</v>
      </c>
      <c r="B33" s="2" t="s">
        <v>153</v>
      </c>
      <c r="C33" s="2">
        <f>COUNTIF(Meal_Planner!$B$4:$N$21,Meal_Counter!B33)</f>
        <v>0</v>
      </c>
      <c r="D33" s="21">
        <f>VLOOKUP(B33,MealPlannerPrice!B:G,6,0)</f>
        <v>3.03125</v>
      </c>
    </row>
    <row r="34" spans="1:4" x14ac:dyDescent="0.25">
      <c r="A34" s="2" t="s">
        <v>94</v>
      </c>
      <c r="B34" s="2" t="s">
        <v>165</v>
      </c>
      <c r="C34" s="2">
        <f>COUNTIF(Meal_Planner!$B$4:$N$21,Meal_Counter!B34)</f>
        <v>0</v>
      </c>
      <c r="D34" s="21">
        <f>VLOOKUP(B34,MealPlannerPrice!B:G,6,0)</f>
        <v>3</v>
      </c>
    </row>
    <row r="35" spans="1:4" x14ac:dyDescent="0.25">
      <c r="A35" s="2" t="s">
        <v>94</v>
      </c>
      <c r="B35" s="2" t="s">
        <v>10</v>
      </c>
      <c r="C35" s="2">
        <f>COUNTIF(Meal_Planner!$B$4:$N$21,Meal_Counter!B35)</f>
        <v>0</v>
      </c>
      <c r="D35" s="21">
        <f>VLOOKUP(B35,MealPlannerPrice!B:G,6,0)</f>
        <v>8.85</v>
      </c>
    </row>
    <row r="36" spans="1:4" x14ac:dyDescent="0.25">
      <c r="A36" s="2" t="s">
        <v>94</v>
      </c>
      <c r="B36" s="2" t="s">
        <v>14</v>
      </c>
      <c r="C36" s="2">
        <f>COUNTIF(Meal_Planner!$B$4:$N$21,Meal_Counter!B36)</f>
        <v>0</v>
      </c>
      <c r="D36" s="21">
        <f>VLOOKUP(B36,MealPlannerPrice!B:G,6,0)</f>
        <v>5.99</v>
      </c>
    </row>
    <row r="37" spans="1:4" x14ac:dyDescent="0.25">
      <c r="A37" s="2" t="s">
        <v>94</v>
      </c>
      <c r="B37" s="2" t="s">
        <v>41</v>
      </c>
      <c r="C37" s="2">
        <f>COUNTIF(Meal_Planner!$B$4:$N$21,Meal_Counter!B37)</f>
        <v>1</v>
      </c>
      <c r="D37" s="21">
        <f>VLOOKUP(B37,MealPlannerPrice!B:G,6,0)</f>
        <v>4.29</v>
      </c>
    </row>
    <row r="38" spans="1:4" x14ac:dyDescent="0.25">
      <c r="A38" s="2" t="s">
        <v>94</v>
      </c>
      <c r="B38" s="2" t="s">
        <v>154</v>
      </c>
      <c r="C38" s="2">
        <f>COUNTIF(Meal_Planner!$B$4:$N$21,Meal_Counter!B38)</f>
        <v>0</v>
      </c>
      <c r="D38" s="21">
        <f>VLOOKUP(B38,MealPlannerPrice!B:G,6,0)</f>
        <v>11.47</v>
      </c>
    </row>
    <row r="39" spans="1:4" x14ac:dyDescent="0.25">
      <c r="A39" s="2" t="s">
        <v>94</v>
      </c>
      <c r="B39" s="2" t="s">
        <v>73</v>
      </c>
      <c r="C39" s="2">
        <f>COUNTIF(Meal_Planner!$B$4:$N$21,Meal_Counter!B39)</f>
        <v>1</v>
      </c>
      <c r="D39" s="21">
        <f>VLOOKUP(B39,MealPlannerPrice!B:G,6,0)</f>
        <v>5.66</v>
      </c>
    </row>
    <row r="40" spans="1:4" x14ac:dyDescent="0.25">
      <c r="A40" s="2" t="s">
        <v>94</v>
      </c>
      <c r="B40" s="2" t="s">
        <v>74</v>
      </c>
      <c r="C40" s="2">
        <f>COUNTIF(Meal_Planner!$B$4:$N$21,Meal_Counter!B40)</f>
        <v>0</v>
      </c>
      <c r="D40" s="21">
        <f>VLOOKUP(B40,MealPlannerPrice!B:G,6,0)</f>
        <v>9.56</v>
      </c>
    </row>
    <row r="41" spans="1:4" x14ac:dyDescent="0.25">
      <c r="A41" s="2" t="s">
        <v>94</v>
      </c>
      <c r="B41" s="2" t="s">
        <v>39</v>
      </c>
      <c r="C41" s="2">
        <f>COUNTIF(Meal_Planner!$B$4:$N$21,Meal_Counter!B41)</f>
        <v>0</v>
      </c>
      <c r="D41" s="21">
        <f>VLOOKUP(B41,MealPlannerPrice!B:G,6,0)</f>
        <v>6.94</v>
      </c>
    </row>
    <row r="42" spans="1:4" x14ac:dyDescent="0.25">
      <c r="A42" s="2" t="s">
        <v>94</v>
      </c>
      <c r="B42" s="2" t="s">
        <v>9</v>
      </c>
      <c r="C42" s="2">
        <f>COUNTIF(Meal_Planner!$B$4:$N$21,Meal_Counter!B42)</f>
        <v>0</v>
      </c>
      <c r="D42" s="21">
        <f>VLOOKUP(B42,MealPlannerPrice!B:G,6,0)</f>
        <v>11.97</v>
      </c>
    </row>
    <row r="43" spans="1:4" x14ac:dyDescent="0.25">
      <c r="A43" s="2" t="s">
        <v>4</v>
      </c>
      <c r="B43" s="2" t="s">
        <v>155</v>
      </c>
      <c r="C43" s="2">
        <f>COUNTIF(Meal_Planner!$B$4:$N$21,Meal_Counter!B43)</f>
        <v>2</v>
      </c>
      <c r="D43" s="21">
        <f>VLOOKUP(B43,MealPlannerPrice!B:G,6,0)</f>
        <v>4.416666666666667</v>
      </c>
    </row>
    <row r="44" spans="1:4" x14ac:dyDescent="0.25">
      <c r="A44" s="2" t="s">
        <v>4</v>
      </c>
      <c r="B44" s="2" t="s">
        <v>81</v>
      </c>
      <c r="C44" s="2">
        <f>COUNTIF(Meal_Planner!$B$4:$N$21,Meal_Counter!B44)</f>
        <v>0</v>
      </c>
      <c r="D44" s="21">
        <f>VLOOKUP(B44,MealPlannerPrice!B:G,6,0)</f>
        <v>5.5</v>
      </c>
    </row>
    <row r="45" spans="1:4" x14ac:dyDescent="0.25">
      <c r="A45" s="2" t="s">
        <v>4</v>
      </c>
      <c r="B45" s="2" t="s">
        <v>156</v>
      </c>
      <c r="C45" s="2">
        <f>COUNTIF(Meal_Planner!$B$4:$N$21,Meal_Counter!B45)</f>
        <v>0</v>
      </c>
      <c r="D45" s="21">
        <f>VLOOKUP(B45,MealPlannerPrice!B:G,6,0)</f>
        <v>6</v>
      </c>
    </row>
    <row r="46" spans="1:4" x14ac:dyDescent="0.25">
      <c r="A46" s="2" t="s">
        <v>4</v>
      </c>
      <c r="B46" s="2" t="s">
        <v>157</v>
      </c>
      <c r="C46" s="2">
        <f>COUNTIF(Meal_Planner!$B$4:$N$21,Meal_Counter!B46)</f>
        <v>0</v>
      </c>
      <c r="D46" s="21">
        <f>VLOOKUP(B46,MealPlannerPrice!B:G,6,0)</f>
        <v>4.25</v>
      </c>
    </row>
    <row r="47" spans="1:4" x14ac:dyDescent="0.25">
      <c r="A47" s="2" t="s">
        <v>4</v>
      </c>
      <c r="B47" s="2" t="s">
        <v>122</v>
      </c>
      <c r="C47" s="2">
        <f>COUNTIF(Meal_Planner!$B$4:$N$21,Meal_Counter!B47)</f>
        <v>1</v>
      </c>
      <c r="D47" s="21">
        <f>VLOOKUP(B47,MealPlannerPrice!B:G,6,0)</f>
        <v>0.99</v>
      </c>
    </row>
    <row r="48" spans="1:4" x14ac:dyDescent="0.25">
      <c r="A48" s="2" t="s">
        <v>4</v>
      </c>
      <c r="B48" s="2" t="s">
        <v>123</v>
      </c>
      <c r="C48" s="2">
        <f>COUNTIF(Meal_Planner!$B$4:$N$21,Meal_Counter!B48)</f>
        <v>1</v>
      </c>
      <c r="D48" s="21">
        <f>VLOOKUP(B48,MealPlannerPrice!B:G,6,0)</f>
        <v>0.40260000000000001</v>
      </c>
    </row>
    <row r="49" spans="1:4" x14ac:dyDescent="0.25">
      <c r="A49" s="2" t="s">
        <v>4</v>
      </c>
      <c r="B49" s="2" t="s">
        <v>12</v>
      </c>
      <c r="C49" s="2">
        <f>COUNTIF(Meal_Planner!$B$4:$N$21,Meal_Counter!B49)</f>
        <v>1</v>
      </c>
      <c r="D49" s="21">
        <f>VLOOKUP(B49,MealPlannerPrice!B:G,6,0)</f>
        <v>2.3679999999999999</v>
      </c>
    </row>
    <row r="50" spans="1:4" x14ac:dyDescent="0.25">
      <c r="A50" s="2" t="s">
        <v>4</v>
      </c>
      <c r="B50" s="2" t="s">
        <v>62</v>
      </c>
      <c r="C50" s="2">
        <f>COUNTIF(Meal_Planner!$B$4:$N$21,Meal_Counter!B50)</f>
        <v>2</v>
      </c>
      <c r="D50" s="21">
        <f>VLOOKUP(B50,MealPlannerPrice!B:G,6,0)</f>
        <v>0.69299999999999995</v>
      </c>
    </row>
    <row r="51" spans="1:4" x14ac:dyDescent="0.25">
      <c r="A51" s="2" t="s">
        <v>4</v>
      </c>
      <c r="B51" s="2" t="s">
        <v>63</v>
      </c>
      <c r="C51" s="2">
        <f>COUNTIF(Meal_Planner!$B$4:$N$21,Meal_Counter!B51)</f>
        <v>1</v>
      </c>
      <c r="D51" s="21">
        <f>VLOOKUP(B51,MealPlannerPrice!B:G,6,0)</f>
        <v>0.97</v>
      </c>
    </row>
    <row r="52" spans="1:4" x14ac:dyDescent="0.25">
      <c r="A52" s="2" t="s">
        <v>4</v>
      </c>
      <c r="B52" s="2" t="s">
        <v>158</v>
      </c>
      <c r="C52" s="2">
        <f>COUNTIF(Meal_Planner!$B$4:$N$21,Meal_Counter!B52)</f>
        <v>1</v>
      </c>
      <c r="D52" s="21">
        <f>VLOOKUP(B52,MealPlannerPrice!B:G,6,0)</f>
        <v>0.49</v>
      </c>
    </row>
    <row r="53" spans="1:4" x14ac:dyDescent="0.25">
      <c r="A53" s="2" t="s">
        <v>4</v>
      </c>
      <c r="B53" s="2" t="s">
        <v>69</v>
      </c>
      <c r="C53" s="2">
        <f>COUNTIF(Meal_Planner!$B$4:$N$21,Meal_Counter!B53)</f>
        <v>1</v>
      </c>
      <c r="D53" s="21">
        <f>VLOOKUP(B53,MealPlannerPrice!B:G,6,0)</f>
        <v>0.35399999999999998</v>
      </c>
    </row>
    <row r="54" spans="1:4" x14ac:dyDescent="0.25">
      <c r="A54" s="2" t="s">
        <v>4</v>
      </c>
      <c r="B54" s="2" t="s">
        <v>159</v>
      </c>
      <c r="C54" s="2">
        <f>COUNTIF(Meal_Planner!$B$4:$N$21,Meal_Counter!B54)</f>
        <v>0</v>
      </c>
      <c r="D54" s="21">
        <f>VLOOKUP(B54,MealPlannerPrice!B:G,6,0)</f>
        <v>0.35</v>
      </c>
    </row>
    <row r="55" spans="1:4" x14ac:dyDescent="0.25">
      <c r="A55" s="2" t="s">
        <v>1</v>
      </c>
      <c r="B55" s="2" t="s">
        <v>67</v>
      </c>
      <c r="C55" s="2">
        <f>COUNTIF(Meal_Planner!$B$4:$N$21,Meal_Counter!B55)</f>
        <v>1</v>
      </c>
      <c r="D55" s="21">
        <f>VLOOKUP(B55,MealPlannerPrice!B:G,6,0)</f>
        <v>0.48200000000000004</v>
      </c>
    </row>
    <row r="56" spans="1:4" x14ac:dyDescent="0.25">
      <c r="A56" s="2" t="s">
        <v>1</v>
      </c>
      <c r="B56" s="2" t="s">
        <v>70</v>
      </c>
      <c r="C56" s="2">
        <f>COUNTIF(Meal_Planner!$B$4:$N$21,Meal_Counter!B56)</f>
        <v>1</v>
      </c>
      <c r="D56" s="21">
        <f>VLOOKUP(B56,MealPlannerPrice!B:G,6,0)</f>
        <v>0.29700000000000004</v>
      </c>
    </row>
    <row r="57" spans="1:4" x14ac:dyDescent="0.25">
      <c r="A57" s="2" t="s">
        <v>1</v>
      </c>
      <c r="B57" s="2" t="s">
        <v>124</v>
      </c>
      <c r="C57" s="2">
        <f>COUNTIF(Meal_Planner!$B$4:$N$21,Meal_Counter!B57)</f>
        <v>1</v>
      </c>
      <c r="D57" s="21">
        <f>VLOOKUP(B57,MealPlannerPrice!B:G,6,0)</f>
        <v>0.2475</v>
      </c>
    </row>
    <row r="58" spans="1:4" x14ac:dyDescent="0.25">
      <c r="A58" s="2" t="s">
        <v>1</v>
      </c>
      <c r="B58" s="2" t="s">
        <v>71</v>
      </c>
      <c r="C58" s="2">
        <f>COUNTIF(Meal_Planner!$B$4:$N$21,Meal_Counter!B58)</f>
        <v>1</v>
      </c>
      <c r="D58" s="21">
        <f>VLOOKUP(B58,MealPlannerPrice!B:G,6,0)</f>
        <v>0.33083333333333331</v>
      </c>
    </row>
    <row r="59" spans="1:4" x14ac:dyDescent="0.25">
      <c r="D59" s="50"/>
    </row>
  </sheetData>
  <customSheetViews>
    <customSheetView guid="{45A1D012-B874-4DD8-9662-AFBB0284400B}" showAutoFilter="1">
      <selection activeCell="D24" sqref="D24"/>
      <pageMargins left="0.7" right="0.7" top="0.75" bottom="0.75" header="0.3" footer="0.3"/>
      <autoFilter ref="E1:L107" xr:uid="{00000000-0000-0000-0000-000000000000}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05707-56EA-406F-8F38-BF9851B2B298}">
  <sheetPr codeName="Sheet5"/>
  <dimension ref="B1:G107"/>
  <sheetViews>
    <sheetView workbookViewId="0">
      <selection activeCell="G11" sqref="G11"/>
    </sheetView>
  </sheetViews>
  <sheetFormatPr defaultRowHeight="15" x14ac:dyDescent="0.25"/>
  <cols>
    <col min="2" max="2" width="22.42578125" bestFit="1" customWidth="1"/>
    <col min="3" max="3" width="22" bestFit="1" customWidth="1"/>
    <col min="4" max="4" width="7.7109375" style="20" bestFit="1" customWidth="1"/>
    <col min="5" max="5" width="23" style="4" bestFit="1" customWidth="1"/>
    <col min="6" max="6" width="20.140625" style="20" bestFit="1" customWidth="1"/>
    <col min="7" max="7" width="19.140625" style="20" bestFit="1" customWidth="1"/>
  </cols>
  <sheetData>
    <row r="1" spans="2:7" x14ac:dyDescent="0.25">
      <c r="B1" s="1" t="s">
        <v>147</v>
      </c>
      <c r="C1" s="1" t="s">
        <v>148</v>
      </c>
      <c r="D1" s="22" t="s">
        <v>160</v>
      </c>
      <c r="E1" s="15" t="s">
        <v>108</v>
      </c>
      <c r="F1" s="22" t="s">
        <v>181</v>
      </c>
      <c r="G1" s="22" t="s">
        <v>172</v>
      </c>
    </row>
    <row r="2" spans="2:7" x14ac:dyDescent="0.25">
      <c r="B2" s="2" t="s">
        <v>111</v>
      </c>
      <c r="C2" s="2" t="s">
        <v>111</v>
      </c>
      <c r="D2" s="21">
        <f>VLOOKUP(C2,GroceryListCalculator!A:H,4,0)</f>
        <v>5</v>
      </c>
      <c r="E2" s="16">
        <v>0.1</v>
      </c>
      <c r="F2" s="21">
        <f t="shared" ref="F2:F33" si="0">D2*E2</f>
        <v>0.5</v>
      </c>
      <c r="G2" s="21">
        <v>0.44000000000000006</v>
      </c>
    </row>
    <row r="3" spans="2:7" x14ac:dyDescent="0.25">
      <c r="B3" s="2" t="s">
        <v>112</v>
      </c>
      <c r="C3" s="2" t="s">
        <v>112</v>
      </c>
      <c r="D3" s="21">
        <f>VLOOKUP(C3,GroceryListCalculator!A:H,4,0)</f>
        <v>5</v>
      </c>
      <c r="E3" s="16">
        <v>0.05</v>
      </c>
      <c r="F3" s="21">
        <f t="shared" si="0"/>
        <v>0.25</v>
      </c>
      <c r="G3" s="21">
        <v>0.42199999999999999</v>
      </c>
    </row>
    <row r="4" spans="2:7" x14ac:dyDescent="0.25">
      <c r="B4" s="2" t="s">
        <v>64</v>
      </c>
      <c r="C4" s="2" t="s">
        <v>64</v>
      </c>
      <c r="D4" s="21">
        <f>VLOOKUP(C4,GroceryListCalculator!A:H,4,0)</f>
        <v>5</v>
      </c>
      <c r="E4" s="16">
        <v>1</v>
      </c>
      <c r="F4" s="21">
        <f t="shared" si="0"/>
        <v>5</v>
      </c>
      <c r="G4" s="21">
        <v>0.74</v>
      </c>
    </row>
    <row r="5" spans="2:7" x14ac:dyDescent="0.25">
      <c r="B5" s="2" t="s">
        <v>65</v>
      </c>
      <c r="C5" s="2" t="s">
        <v>65</v>
      </c>
      <c r="D5" s="21">
        <f>VLOOKUP(C5,GroceryListCalculator!A:H,4,0)</f>
        <v>5</v>
      </c>
      <c r="E5" s="16">
        <v>1</v>
      </c>
      <c r="F5" s="21">
        <f t="shared" si="0"/>
        <v>5</v>
      </c>
      <c r="G5" s="21">
        <v>0.24</v>
      </c>
    </row>
    <row r="6" spans="2:7" x14ac:dyDescent="0.25">
      <c r="B6" s="2" t="s">
        <v>66</v>
      </c>
      <c r="C6" s="2" t="s">
        <v>66</v>
      </c>
      <c r="D6" s="21">
        <f>VLOOKUP(C6,GroceryListCalculator!A:H,4,0)</f>
        <v>5</v>
      </c>
      <c r="E6" s="16">
        <v>1</v>
      </c>
      <c r="F6" s="21">
        <f t="shared" si="0"/>
        <v>5</v>
      </c>
      <c r="G6" s="21">
        <v>1.536</v>
      </c>
    </row>
    <row r="7" spans="2:7" x14ac:dyDescent="0.25">
      <c r="B7" s="2" t="s">
        <v>113</v>
      </c>
      <c r="C7" s="2" t="s">
        <v>113</v>
      </c>
      <c r="D7" s="21">
        <f>VLOOKUP(C7,GroceryListCalculator!A:H,4,0)</f>
        <v>5</v>
      </c>
      <c r="E7" s="16">
        <v>0.125</v>
      </c>
      <c r="F7" s="21">
        <f t="shared" si="0"/>
        <v>0.625</v>
      </c>
      <c r="G7" s="21">
        <v>0.59750000000000003</v>
      </c>
    </row>
    <row r="8" spans="2:7" x14ac:dyDescent="0.25">
      <c r="B8" s="2" t="s">
        <v>114</v>
      </c>
      <c r="C8" s="2" t="s">
        <v>114</v>
      </c>
      <c r="D8" s="21">
        <f>VLOOKUP(C8,GroceryListCalculator!A:H,4,0)</f>
        <v>5</v>
      </c>
      <c r="E8" s="16">
        <v>0.125</v>
      </c>
      <c r="F8" s="21">
        <f t="shared" si="0"/>
        <v>0.625</v>
      </c>
      <c r="G8" s="21">
        <v>0.40250000000000002</v>
      </c>
    </row>
    <row r="9" spans="2:7" x14ac:dyDescent="0.25">
      <c r="B9" s="2" t="s">
        <v>51</v>
      </c>
      <c r="C9" s="2" t="s">
        <v>51</v>
      </c>
      <c r="D9" s="21">
        <f>VLOOKUP(C9,GroceryListCalculator!A:H,4,0)</f>
        <v>5</v>
      </c>
      <c r="E9" s="16">
        <v>1</v>
      </c>
      <c r="F9" s="21">
        <f t="shared" si="0"/>
        <v>5</v>
      </c>
      <c r="G9" s="21">
        <v>1.34</v>
      </c>
    </row>
    <row r="10" spans="2:7" x14ac:dyDescent="0.25">
      <c r="B10" s="2" t="s">
        <v>95</v>
      </c>
      <c r="C10" s="2" t="s">
        <v>37</v>
      </c>
      <c r="D10" s="21">
        <f>VLOOKUP(C10,GroceryListCalculator!A:H,4,0)</f>
        <v>5</v>
      </c>
      <c r="E10" s="16">
        <v>0.125</v>
      </c>
      <c r="F10" s="21">
        <f t="shared" si="0"/>
        <v>0.625</v>
      </c>
      <c r="G10" s="21">
        <v>0.36625000000000002</v>
      </c>
    </row>
    <row r="11" spans="2:7" x14ac:dyDescent="0.25">
      <c r="B11" s="2" t="s">
        <v>115</v>
      </c>
      <c r="C11" s="2" t="s">
        <v>115</v>
      </c>
      <c r="D11" s="21">
        <f>VLOOKUP(C11,GroceryListCalculator!A:H,4,0)</f>
        <v>5</v>
      </c>
      <c r="E11" s="16">
        <v>0.125</v>
      </c>
      <c r="F11" s="21">
        <f t="shared" si="0"/>
        <v>0.625</v>
      </c>
      <c r="G11" s="21">
        <v>0.375</v>
      </c>
    </row>
    <row r="12" spans="2:7" x14ac:dyDescent="0.25">
      <c r="B12" s="2" t="s">
        <v>86</v>
      </c>
      <c r="C12" s="2" t="s">
        <v>86</v>
      </c>
      <c r="D12" s="21">
        <f>VLOOKUP(C12,GroceryListCalculator!A:H,4,0)</f>
        <v>5</v>
      </c>
      <c r="E12" s="16">
        <v>0.125</v>
      </c>
      <c r="F12" s="21">
        <f t="shared" si="0"/>
        <v>0.625</v>
      </c>
      <c r="G12" s="21">
        <v>0.68500000000000005</v>
      </c>
    </row>
    <row r="13" spans="2:7" x14ac:dyDescent="0.25">
      <c r="B13" s="2" t="s">
        <v>38</v>
      </c>
      <c r="C13" s="2" t="s">
        <v>38</v>
      </c>
      <c r="D13" s="21">
        <f>VLOOKUP(C13,GroceryListCalculator!A:H,4,0)</f>
        <v>5</v>
      </c>
      <c r="E13" s="16">
        <v>8.3333333333333329E-2</v>
      </c>
      <c r="F13" s="21">
        <f t="shared" si="0"/>
        <v>0.41666666666666663</v>
      </c>
      <c r="G13" s="21">
        <v>0.32666666666666666</v>
      </c>
    </row>
    <row r="14" spans="2:7" x14ac:dyDescent="0.25">
      <c r="B14" s="2" t="s">
        <v>171</v>
      </c>
      <c r="C14" s="2" t="s">
        <v>85</v>
      </c>
      <c r="D14" s="21">
        <f>VLOOKUP(C14,GroceryListCalculator!A:H,4,0)</f>
        <v>5</v>
      </c>
      <c r="E14" s="16">
        <v>0.34</v>
      </c>
      <c r="F14" s="21">
        <f t="shared" si="0"/>
        <v>1.7000000000000002</v>
      </c>
      <c r="G14" s="21">
        <v>1.6898</v>
      </c>
    </row>
    <row r="15" spans="2:7" x14ac:dyDescent="0.25">
      <c r="B15" s="2" t="s">
        <v>54</v>
      </c>
      <c r="C15" s="2" t="s">
        <v>54</v>
      </c>
      <c r="D15" s="21">
        <f>VLOOKUP(C15,GroceryListCalculator!A:H,4,0)</f>
        <v>5</v>
      </c>
      <c r="E15" s="16">
        <v>0.16666666666666666</v>
      </c>
      <c r="F15" s="21">
        <f t="shared" si="0"/>
        <v>0.83333333333333326</v>
      </c>
      <c r="G15" s="21">
        <v>0.57833333333333337</v>
      </c>
    </row>
    <row r="16" spans="2:7" x14ac:dyDescent="0.25">
      <c r="B16" s="2" t="s">
        <v>80</v>
      </c>
      <c r="C16" s="2" t="s">
        <v>80</v>
      </c>
      <c r="D16" s="21">
        <f>VLOOKUP(C16,GroceryListCalculator!A:H,4,0)</f>
        <v>5</v>
      </c>
      <c r="E16" s="16">
        <v>0.25</v>
      </c>
      <c r="F16" s="21">
        <f t="shared" si="0"/>
        <v>1.25</v>
      </c>
      <c r="G16" s="21">
        <v>0.495</v>
      </c>
    </row>
    <row r="17" spans="2:7" x14ac:dyDescent="0.25">
      <c r="B17" s="2" t="s">
        <v>105</v>
      </c>
      <c r="C17" s="2" t="s">
        <v>105</v>
      </c>
      <c r="D17" s="21">
        <f>VLOOKUP(C17,GroceryListCalculator!A:H,4,0)</f>
        <v>5</v>
      </c>
      <c r="E17" s="16">
        <v>0.25</v>
      </c>
      <c r="F17" s="21">
        <f t="shared" si="0"/>
        <v>1.25</v>
      </c>
      <c r="G17" s="21">
        <v>0.22</v>
      </c>
    </row>
    <row r="18" spans="2:7" x14ac:dyDescent="0.25">
      <c r="B18" s="2" t="s">
        <v>116</v>
      </c>
      <c r="C18" s="2" t="s">
        <v>116</v>
      </c>
      <c r="D18" s="21">
        <f>VLOOKUP(C18,GroceryListCalculator!A:H,4,0)</f>
        <v>5</v>
      </c>
      <c r="E18" s="16">
        <v>0.2</v>
      </c>
      <c r="F18" s="21">
        <f t="shared" si="0"/>
        <v>1</v>
      </c>
      <c r="G18" s="21">
        <v>0.5</v>
      </c>
    </row>
    <row r="19" spans="2:7" x14ac:dyDescent="0.25">
      <c r="B19" s="2" t="s">
        <v>117</v>
      </c>
      <c r="C19" s="2" t="s">
        <v>117</v>
      </c>
      <c r="D19" s="21">
        <f>VLOOKUP(C19,GroceryListCalculator!A:H,4,0)</f>
        <v>5</v>
      </c>
      <c r="E19" s="16">
        <v>0.2</v>
      </c>
      <c r="F19" s="21">
        <f t="shared" si="0"/>
        <v>1</v>
      </c>
      <c r="G19" s="21">
        <v>0.434</v>
      </c>
    </row>
    <row r="20" spans="2:7" x14ac:dyDescent="0.25">
      <c r="B20" s="2" t="s">
        <v>53</v>
      </c>
      <c r="C20" s="2" t="s">
        <v>53</v>
      </c>
      <c r="D20" s="21">
        <f>VLOOKUP(C20,GroceryListCalculator!A:H,4,0)</f>
        <v>5</v>
      </c>
      <c r="E20" s="16">
        <v>8.3333333333333329E-2</v>
      </c>
      <c r="F20" s="21">
        <f t="shared" si="0"/>
        <v>0.41666666666666663</v>
      </c>
      <c r="G20" s="21">
        <v>0.30333333333333334</v>
      </c>
    </row>
    <row r="21" spans="2:7" x14ac:dyDescent="0.25">
      <c r="B21" s="2" t="s">
        <v>52</v>
      </c>
      <c r="C21" s="2" t="s">
        <v>52</v>
      </c>
      <c r="D21" s="21">
        <f>VLOOKUP(C21,GroceryListCalculator!A:H,4,0)</f>
        <v>5</v>
      </c>
      <c r="E21" s="16">
        <v>8.3333333333333329E-2</v>
      </c>
      <c r="F21" s="21">
        <f t="shared" si="0"/>
        <v>0.41666666666666663</v>
      </c>
      <c r="G21" s="21">
        <v>0.31499999999999995</v>
      </c>
    </row>
    <row r="22" spans="2:7" x14ac:dyDescent="0.25">
      <c r="B22" s="2" t="s">
        <v>25</v>
      </c>
      <c r="C22" s="17" t="s">
        <v>49</v>
      </c>
      <c r="D22" s="21">
        <f>VLOOKUP(C22,GroceryListCalculator!A:H,4,0)</f>
        <v>5</v>
      </c>
      <c r="E22" s="16">
        <v>0.05</v>
      </c>
      <c r="F22" s="21">
        <f t="shared" si="0"/>
        <v>0.25</v>
      </c>
      <c r="G22" s="21">
        <f>SUM(F22:F24)</f>
        <v>1.125</v>
      </c>
    </row>
    <row r="23" spans="2:7" x14ac:dyDescent="0.25">
      <c r="B23" s="2" t="s">
        <v>25</v>
      </c>
      <c r="C23" s="17" t="s">
        <v>50</v>
      </c>
      <c r="D23" s="21">
        <f>VLOOKUP(C23,GroceryListCalculator!A:H,4,0)</f>
        <v>5</v>
      </c>
      <c r="E23" s="16">
        <v>0.05</v>
      </c>
      <c r="F23" s="21">
        <f t="shared" si="0"/>
        <v>0.25</v>
      </c>
      <c r="G23" s="21"/>
    </row>
    <row r="24" spans="2:7" x14ac:dyDescent="0.25">
      <c r="B24" s="2" t="s">
        <v>25</v>
      </c>
      <c r="C24" s="17" t="s">
        <v>37</v>
      </c>
      <c r="D24" s="21">
        <f>VLOOKUP(C24,GroceryListCalculator!A:H,4,0)</f>
        <v>5</v>
      </c>
      <c r="E24" s="16">
        <v>0.125</v>
      </c>
      <c r="F24" s="21">
        <f t="shared" si="0"/>
        <v>0.625</v>
      </c>
      <c r="G24" s="21"/>
    </row>
    <row r="25" spans="2:7" x14ac:dyDescent="0.25">
      <c r="B25" s="2" t="s">
        <v>151</v>
      </c>
      <c r="C25" s="17" t="s">
        <v>45</v>
      </c>
      <c r="D25" s="21">
        <f>VLOOKUP(C25,GroceryListCalculator!A:H,4,0)</f>
        <v>5</v>
      </c>
      <c r="E25" s="16">
        <v>0.16666666666666666</v>
      </c>
      <c r="F25" s="21">
        <f t="shared" si="0"/>
        <v>0.83333333333333326</v>
      </c>
      <c r="G25" s="21">
        <f>SUM(F25:F31)</f>
        <v>3.7333333333333334</v>
      </c>
    </row>
    <row r="26" spans="2:7" x14ac:dyDescent="0.25">
      <c r="B26" s="2" t="s">
        <v>151</v>
      </c>
      <c r="C26" s="17" t="s">
        <v>37</v>
      </c>
      <c r="D26" s="21">
        <f>VLOOKUP(C26,GroceryListCalculator!A:H,4,0)</f>
        <v>5</v>
      </c>
      <c r="E26" s="16">
        <v>0.125</v>
      </c>
      <c r="F26" s="21">
        <f t="shared" si="0"/>
        <v>0.625</v>
      </c>
      <c r="G26" s="21"/>
    </row>
    <row r="27" spans="2:7" x14ac:dyDescent="0.25">
      <c r="B27" s="2" t="s">
        <v>151</v>
      </c>
      <c r="C27" s="17" t="s">
        <v>75</v>
      </c>
      <c r="D27" s="21">
        <f>VLOOKUP(C27,GroceryListCalculator!A:H,4,0)</f>
        <v>5</v>
      </c>
      <c r="E27" s="16">
        <v>6.25E-2</v>
      </c>
      <c r="F27" s="21">
        <f t="shared" si="0"/>
        <v>0.3125</v>
      </c>
      <c r="G27" s="21"/>
    </row>
    <row r="28" spans="2:7" x14ac:dyDescent="0.25">
      <c r="B28" s="2" t="s">
        <v>151</v>
      </c>
      <c r="C28" s="17" t="s">
        <v>106</v>
      </c>
      <c r="D28" s="21">
        <f>VLOOKUP(C28,GroceryListCalculator!A:H,4,0)</f>
        <v>5</v>
      </c>
      <c r="E28" s="16">
        <v>0.08</v>
      </c>
      <c r="F28" s="21">
        <f t="shared" si="0"/>
        <v>0.4</v>
      </c>
      <c r="G28" s="21"/>
    </row>
    <row r="29" spans="2:7" x14ac:dyDescent="0.25">
      <c r="B29" s="2" t="s">
        <v>151</v>
      </c>
      <c r="C29" s="17" t="s">
        <v>48</v>
      </c>
      <c r="D29" s="21">
        <f>VLOOKUP(C29,GroceryListCalculator!A:H,4,0)</f>
        <v>5</v>
      </c>
      <c r="E29" s="16">
        <v>0.25</v>
      </c>
      <c r="F29" s="21">
        <f t="shared" si="0"/>
        <v>1.25</v>
      </c>
      <c r="G29" s="21"/>
    </row>
    <row r="30" spans="2:7" x14ac:dyDescent="0.25">
      <c r="B30" s="2" t="s">
        <v>151</v>
      </c>
      <c r="C30" s="17" t="s">
        <v>46</v>
      </c>
      <c r="D30" s="21">
        <f>VLOOKUP(C30,GroceryListCalculator!A:H,4,0)</f>
        <v>5</v>
      </c>
      <c r="E30" s="16">
        <v>3.125E-2</v>
      </c>
      <c r="F30" s="21">
        <f t="shared" si="0"/>
        <v>0.15625</v>
      </c>
      <c r="G30" s="21"/>
    </row>
    <row r="31" spans="2:7" x14ac:dyDescent="0.25">
      <c r="B31" s="2" t="s">
        <v>151</v>
      </c>
      <c r="C31" s="17" t="s">
        <v>47</v>
      </c>
      <c r="D31" s="21">
        <f>VLOOKUP(C31,GroceryListCalculator!A:H,4,0)</f>
        <v>5</v>
      </c>
      <c r="E31" s="16">
        <v>3.125E-2</v>
      </c>
      <c r="F31" s="21">
        <f t="shared" si="0"/>
        <v>0.15625</v>
      </c>
      <c r="G31" s="21"/>
    </row>
    <row r="32" spans="2:7" x14ac:dyDescent="0.25">
      <c r="B32" s="2" t="s">
        <v>27</v>
      </c>
      <c r="C32" s="17" t="s">
        <v>27</v>
      </c>
      <c r="D32" s="21">
        <f>VLOOKUP(C32,GroceryListCalculator!A:H,4,0)</f>
        <v>5</v>
      </c>
      <c r="E32" s="16">
        <v>0.25</v>
      </c>
      <c r="F32" s="21">
        <f t="shared" si="0"/>
        <v>1.25</v>
      </c>
      <c r="G32" s="21">
        <f>SUM(F32:F34)</f>
        <v>2.65625</v>
      </c>
    </row>
    <row r="33" spans="2:7" x14ac:dyDescent="0.25">
      <c r="B33" s="2" t="s">
        <v>27</v>
      </c>
      <c r="C33" s="17" t="s">
        <v>44</v>
      </c>
      <c r="D33" s="21">
        <f>VLOOKUP(C33,GroceryListCalculator!A:H,4,0)</f>
        <v>5</v>
      </c>
      <c r="E33" s="16">
        <v>0.25</v>
      </c>
      <c r="F33" s="21">
        <f t="shared" si="0"/>
        <v>1.25</v>
      </c>
      <c r="G33" s="21"/>
    </row>
    <row r="34" spans="2:7" x14ac:dyDescent="0.25">
      <c r="B34" s="2" t="s">
        <v>27</v>
      </c>
      <c r="C34" s="17" t="s">
        <v>47</v>
      </c>
      <c r="D34" s="21">
        <f>VLOOKUP(C34,GroceryListCalculator!A:H,4,0)</f>
        <v>5</v>
      </c>
      <c r="E34" s="16">
        <v>3.125E-2</v>
      </c>
      <c r="F34" s="21">
        <f t="shared" ref="F34:F65" si="1">D34*E34</f>
        <v>0.15625</v>
      </c>
      <c r="G34" s="21"/>
    </row>
    <row r="35" spans="2:7" x14ac:dyDescent="0.25">
      <c r="B35" s="2" t="s">
        <v>102</v>
      </c>
      <c r="C35" s="17" t="s">
        <v>103</v>
      </c>
      <c r="D35" s="21">
        <f>VLOOKUP(C35,GroceryListCalculator!A:H,4,0)</f>
        <v>5</v>
      </c>
      <c r="E35" s="16">
        <v>1</v>
      </c>
      <c r="F35" s="21">
        <f t="shared" si="1"/>
        <v>5</v>
      </c>
      <c r="G35" s="21">
        <f>SUM(F35:F36)</f>
        <v>5.25</v>
      </c>
    </row>
    <row r="36" spans="2:7" x14ac:dyDescent="0.25">
      <c r="B36" s="2" t="s">
        <v>102</v>
      </c>
      <c r="C36" s="17" t="s">
        <v>104</v>
      </c>
      <c r="D36" s="21">
        <f>VLOOKUP(C36,GroceryListCalculator!A:H,4,0)</f>
        <v>5</v>
      </c>
      <c r="E36" s="16">
        <v>0.05</v>
      </c>
      <c r="F36" s="21">
        <f t="shared" si="1"/>
        <v>0.25</v>
      </c>
      <c r="G36" s="21"/>
    </row>
    <row r="37" spans="2:7" x14ac:dyDescent="0.25">
      <c r="B37" s="2" t="s">
        <v>28</v>
      </c>
      <c r="C37" s="17" t="s">
        <v>37</v>
      </c>
      <c r="D37" s="21">
        <f>VLOOKUP(C37,GroceryListCalculator!A:H,4,0)</f>
        <v>5</v>
      </c>
      <c r="E37" s="16">
        <v>6.25E-2</v>
      </c>
      <c r="F37" s="21">
        <f t="shared" si="1"/>
        <v>0.3125</v>
      </c>
      <c r="G37" s="21">
        <f>SUM(F37:F39)</f>
        <v>0.78125</v>
      </c>
    </row>
    <row r="38" spans="2:7" x14ac:dyDescent="0.25">
      <c r="B38" s="2" t="s">
        <v>28</v>
      </c>
      <c r="C38" s="17" t="s">
        <v>75</v>
      </c>
      <c r="D38" s="21">
        <f>VLOOKUP(C38,GroceryListCalculator!A:H,4,0)</f>
        <v>5</v>
      </c>
      <c r="E38" s="16">
        <v>6.25E-2</v>
      </c>
      <c r="F38" s="21">
        <f t="shared" si="1"/>
        <v>0.3125</v>
      </c>
      <c r="G38" s="21"/>
    </row>
    <row r="39" spans="2:7" x14ac:dyDescent="0.25">
      <c r="B39" s="2" t="s">
        <v>28</v>
      </c>
      <c r="C39" s="17" t="s">
        <v>36</v>
      </c>
      <c r="D39" s="21">
        <f>VLOOKUP(C39,GroceryListCalculator!A:H,4,0)</f>
        <v>5</v>
      </c>
      <c r="E39" s="16">
        <v>3.125E-2</v>
      </c>
      <c r="F39" s="21">
        <f t="shared" si="1"/>
        <v>0.15625</v>
      </c>
      <c r="G39" s="21"/>
    </row>
    <row r="40" spans="2:7" x14ac:dyDescent="0.25">
      <c r="B40" s="2" t="s">
        <v>152</v>
      </c>
      <c r="C40" s="17" t="s">
        <v>118</v>
      </c>
      <c r="D40" s="21">
        <f>VLOOKUP(C40,GroceryListCalculator!A:H,4,0)</f>
        <v>5</v>
      </c>
      <c r="E40" s="16">
        <v>0.5</v>
      </c>
      <c r="F40" s="21">
        <f t="shared" si="1"/>
        <v>2.5</v>
      </c>
      <c r="G40" s="21">
        <f>SUM(F40:F42)</f>
        <v>2.890625</v>
      </c>
    </row>
    <row r="41" spans="2:7" x14ac:dyDescent="0.25">
      <c r="B41" s="2" t="s">
        <v>152</v>
      </c>
      <c r="C41" s="17" t="s">
        <v>79</v>
      </c>
      <c r="D41" s="21">
        <f>VLOOKUP(C41,GroceryListCalculator!A:H,4,0)</f>
        <v>5</v>
      </c>
      <c r="E41" s="16">
        <v>1.5625E-2</v>
      </c>
      <c r="F41" s="21">
        <f t="shared" si="1"/>
        <v>7.8125E-2</v>
      </c>
      <c r="G41" s="21"/>
    </row>
    <row r="42" spans="2:7" x14ac:dyDescent="0.25">
      <c r="B42" s="2" t="s">
        <v>152</v>
      </c>
      <c r="C42" s="17" t="s">
        <v>36</v>
      </c>
      <c r="D42" s="21">
        <f>VLOOKUP(C42,GroceryListCalculator!A:H,4,0)</f>
        <v>5</v>
      </c>
      <c r="E42" s="16">
        <v>6.25E-2</v>
      </c>
      <c r="F42" s="21">
        <f t="shared" si="1"/>
        <v>0.3125</v>
      </c>
      <c r="G42" s="21"/>
    </row>
    <row r="43" spans="2:7" x14ac:dyDescent="0.25">
      <c r="B43" s="2" t="s">
        <v>11</v>
      </c>
      <c r="C43" s="17" t="s">
        <v>41</v>
      </c>
      <c r="D43" s="21">
        <f>VLOOKUP(C43,GroceryListCalculator!A:H,4,0)</f>
        <v>5</v>
      </c>
      <c r="E43" s="16">
        <v>0.25</v>
      </c>
      <c r="F43" s="21">
        <f t="shared" si="1"/>
        <v>1.25</v>
      </c>
      <c r="G43" s="21">
        <f>SUM(F43:F49)</f>
        <v>4.1500000000000004</v>
      </c>
    </row>
    <row r="44" spans="2:7" x14ac:dyDescent="0.25">
      <c r="B44" s="2" t="s">
        <v>11</v>
      </c>
      <c r="C44" s="17" t="s">
        <v>75</v>
      </c>
      <c r="D44" s="21">
        <f>VLOOKUP(C44,GroceryListCalculator!A:H,4,0)</f>
        <v>5</v>
      </c>
      <c r="E44" s="16">
        <v>6.25E-2</v>
      </c>
      <c r="F44" s="21">
        <f t="shared" si="1"/>
        <v>0.3125</v>
      </c>
      <c r="G44" s="21"/>
    </row>
    <row r="45" spans="2:7" x14ac:dyDescent="0.25">
      <c r="B45" s="2" t="s">
        <v>11</v>
      </c>
      <c r="C45" s="17" t="s">
        <v>76</v>
      </c>
      <c r="D45" s="21">
        <f>VLOOKUP(C45,GroceryListCalculator!A:H,4,0)</f>
        <v>5</v>
      </c>
      <c r="E45" s="16">
        <v>0.125</v>
      </c>
      <c r="F45" s="21">
        <f t="shared" si="1"/>
        <v>0.625</v>
      </c>
      <c r="G45" s="21"/>
    </row>
    <row r="46" spans="2:7" x14ac:dyDescent="0.25">
      <c r="B46" s="2" t="s">
        <v>11</v>
      </c>
      <c r="C46" s="17" t="s">
        <v>106</v>
      </c>
      <c r="D46" s="21">
        <f>VLOOKUP(C46,GroceryListCalculator!A:H,4,0)</f>
        <v>5</v>
      </c>
      <c r="E46" s="16">
        <v>0.08</v>
      </c>
      <c r="F46" s="21">
        <f t="shared" si="1"/>
        <v>0.4</v>
      </c>
      <c r="G46" s="21"/>
    </row>
    <row r="47" spans="2:7" x14ac:dyDescent="0.25">
      <c r="B47" s="2" t="s">
        <v>11</v>
      </c>
      <c r="C47" s="17" t="s">
        <v>48</v>
      </c>
      <c r="D47" s="21">
        <f>VLOOKUP(C47,GroceryListCalculator!A:H,4,0)</f>
        <v>5</v>
      </c>
      <c r="E47" s="16">
        <v>0.25</v>
      </c>
      <c r="F47" s="21">
        <f t="shared" si="1"/>
        <v>1.25</v>
      </c>
      <c r="G47" s="21"/>
    </row>
    <row r="48" spans="2:7" x14ac:dyDescent="0.25">
      <c r="B48" s="2" t="s">
        <v>11</v>
      </c>
      <c r="C48" s="17" t="s">
        <v>46</v>
      </c>
      <c r="D48" s="21">
        <f>VLOOKUP(C48,GroceryListCalculator!A:H,4,0)</f>
        <v>5</v>
      </c>
      <c r="E48" s="16">
        <v>3.125E-2</v>
      </c>
      <c r="F48" s="21">
        <f t="shared" si="1"/>
        <v>0.15625</v>
      </c>
      <c r="G48" s="21"/>
    </row>
    <row r="49" spans="2:7" x14ac:dyDescent="0.25">
      <c r="B49" s="2" t="s">
        <v>11</v>
      </c>
      <c r="C49" s="17" t="s">
        <v>77</v>
      </c>
      <c r="D49" s="21">
        <f>VLOOKUP(C49,GroceryListCalculator!A:H,4,0)</f>
        <v>5</v>
      </c>
      <c r="E49" s="16">
        <v>3.125E-2</v>
      </c>
      <c r="F49" s="21">
        <f t="shared" si="1"/>
        <v>0.15625</v>
      </c>
      <c r="G49" s="21"/>
    </row>
    <row r="50" spans="2:7" x14ac:dyDescent="0.25">
      <c r="B50" s="2" t="s">
        <v>29</v>
      </c>
      <c r="C50" s="2" t="s">
        <v>29</v>
      </c>
      <c r="D50" s="21">
        <f>VLOOKUP(C50,GroceryListCalculator!A:H,4,0)</f>
        <v>5</v>
      </c>
      <c r="E50" s="16">
        <v>0.33</v>
      </c>
      <c r="F50" s="21">
        <f t="shared" si="1"/>
        <v>1.6500000000000001</v>
      </c>
      <c r="G50" s="21">
        <v>1.6500000000000001</v>
      </c>
    </row>
    <row r="51" spans="2:7" x14ac:dyDescent="0.25">
      <c r="B51" s="2" t="s">
        <v>13</v>
      </c>
      <c r="C51" s="17" t="s">
        <v>42</v>
      </c>
      <c r="D51" s="21">
        <f>VLOOKUP(C51,GroceryListCalculator!A:H,4,0)</f>
        <v>5</v>
      </c>
      <c r="E51" s="16">
        <v>0.4</v>
      </c>
      <c r="F51" s="21">
        <f t="shared" si="1"/>
        <v>2</v>
      </c>
      <c r="G51" s="21">
        <f>SUM(F51:F53)</f>
        <v>3.15625</v>
      </c>
    </row>
    <row r="52" spans="2:7" x14ac:dyDescent="0.25">
      <c r="B52" s="2" t="s">
        <v>13</v>
      </c>
      <c r="C52" s="17" t="s">
        <v>43</v>
      </c>
      <c r="D52" s="21">
        <f>VLOOKUP(C52,GroceryListCalculator!A:H,4,0)</f>
        <v>5</v>
      </c>
      <c r="E52" s="16">
        <v>0.2</v>
      </c>
      <c r="F52" s="21">
        <f t="shared" si="1"/>
        <v>1</v>
      </c>
      <c r="G52" s="21"/>
    </row>
    <row r="53" spans="2:7" x14ac:dyDescent="0.25">
      <c r="B53" s="2" t="s">
        <v>13</v>
      </c>
      <c r="C53" s="17" t="s">
        <v>119</v>
      </c>
      <c r="D53" s="21">
        <f>VLOOKUP(C53,GroceryListCalculator!A:H,4,0)</f>
        <v>5</v>
      </c>
      <c r="E53" s="16">
        <v>3.125E-2</v>
      </c>
      <c r="F53" s="21">
        <f t="shared" si="1"/>
        <v>0.15625</v>
      </c>
      <c r="G53" s="21"/>
    </row>
    <row r="54" spans="2:7" x14ac:dyDescent="0.25">
      <c r="B54" s="2" t="s">
        <v>97</v>
      </c>
      <c r="C54" s="17" t="s">
        <v>99</v>
      </c>
      <c r="D54" s="21">
        <f>VLOOKUP(C54,GroceryListCalculator!A:H,4,0)</f>
        <v>5</v>
      </c>
      <c r="E54" s="16">
        <v>0.125</v>
      </c>
      <c r="F54" s="21">
        <f t="shared" si="1"/>
        <v>0.625</v>
      </c>
      <c r="G54" s="21">
        <f>SUM(F54:F59)</f>
        <v>3.3062499999999999</v>
      </c>
    </row>
    <row r="55" spans="2:7" x14ac:dyDescent="0.25">
      <c r="B55" s="2" t="s">
        <v>97</v>
      </c>
      <c r="C55" s="17" t="s">
        <v>83</v>
      </c>
      <c r="D55" s="21">
        <f>VLOOKUP(C55,GroceryListCalculator!A:H,4,0)</f>
        <v>5</v>
      </c>
      <c r="E55" s="16">
        <v>0.125</v>
      </c>
      <c r="F55" s="21">
        <f t="shared" si="1"/>
        <v>0.625</v>
      </c>
      <c r="G55" s="21"/>
    </row>
    <row r="56" spans="2:7" x14ac:dyDescent="0.25">
      <c r="B56" s="2" t="s">
        <v>97</v>
      </c>
      <c r="C56" s="17" t="s">
        <v>48</v>
      </c>
      <c r="D56" s="21">
        <f>VLOOKUP(C56,GroceryListCalculator!A:H,4,0)</f>
        <v>5</v>
      </c>
      <c r="E56" s="16">
        <v>0.25</v>
      </c>
      <c r="F56" s="21">
        <f t="shared" si="1"/>
        <v>1.25</v>
      </c>
      <c r="G56" s="21"/>
    </row>
    <row r="57" spans="2:7" x14ac:dyDescent="0.25">
      <c r="B57" s="2" t="s">
        <v>97</v>
      </c>
      <c r="C57" s="17" t="s">
        <v>106</v>
      </c>
      <c r="D57" s="21">
        <f>VLOOKUP(C57,GroceryListCalculator!A:H,4,0)</f>
        <v>5</v>
      </c>
      <c r="E57" s="16">
        <v>0.08</v>
      </c>
      <c r="F57" s="21">
        <f t="shared" si="1"/>
        <v>0.4</v>
      </c>
      <c r="G57" s="21"/>
    </row>
    <row r="58" spans="2:7" x14ac:dyDescent="0.25">
      <c r="B58" s="2" t="s">
        <v>97</v>
      </c>
      <c r="C58" s="17" t="s">
        <v>57</v>
      </c>
      <c r="D58" s="21">
        <f>VLOOKUP(C58,GroceryListCalculator!A:H,4,0)</f>
        <v>5</v>
      </c>
      <c r="E58" s="16">
        <v>0.05</v>
      </c>
      <c r="F58" s="21">
        <f t="shared" si="1"/>
        <v>0.25</v>
      </c>
      <c r="G58" s="21"/>
    </row>
    <row r="59" spans="2:7" x14ac:dyDescent="0.25">
      <c r="B59" s="2" t="s">
        <v>97</v>
      </c>
      <c r="C59" s="17" t="s">
        <v>84</v>
      </c>
      <c r="D59" s="21">
        <f>VLOOKUP(C59,GroceryListCalculator!A:H,4,0)</f>
        <v>5</v>
      </c>
      <c r="E59" s="16">
        <v>3.125E-2</v>
      </c>
      <c r="F59" s="21">
        <f t="shared" si="1"/>
        <v>0.15625</v>
      </c>
      <c r="G59" s="21"/>
    </row>
    <row r="60" spans="2:7" x14ac:dyDescent="0.25">
      <c r="B60" s="2" t="s">
        <v>98</v>
      </c>
      <c r="C60" s="17" t="s">
        <v>41</v>
      </c>
      <c r="D60" s="21">
        <f>VLOOKUP(C60,GroceryListCalculator!A:H,4,0)</f>
        <v>5</v>
      </c>
      <c r="E60" s="16">
        <v>0.125</v>
      </c>
      <c r="F60" s="21">
        <f t="shared" si="1"/>
        <v>0.625</v>
      </c>
      <c r="G60" s="21">
        <f>SUM(F60:F65)</f>
        <v>3.3062499999999999</v>
      </c>
    </row>
    <row r="61" spans="2:7" x14ac:dyDescent="0.25">
      <c r="B61" s="2" t="s">
        <v>98</v>
      </c>
      <c r="C61" s="17" t="s">
        <v>83</v>
      </c>
      <c r="D61" s="21">
        <f>VLOOKUP(C61,GroceryListCalculator!A:H,4,0)</f>
        <v>5</v>
      </c>
      <c r="E61" s="16">
        <v>0.125</v>
      </c>
      <c r="F61" s="21">
        <f t="shared" si="1"/>
        <v>0.625</v>
      </c>
      <c r="G61" s="21"/>
    </row>
    <row r="62" spans="2:7" x14ac:dyDescent="0.25">
      <c r="B62" s="2" t="s">
        <v>98</v>
      </c>
      <c r="C62" s="17" t="s">
        <v>48</v>
      </c>
      <c r="D62" s="21">
        <f>VLOOKUP(C62,GroceryListCalculator!A:H,4,0)</f>
        <v>5</v>
      </c>
      <c r="E62" s="16">
        <v>0.25</v>
      </c>
      <c r="F62" s="21">
        <f t="shared" si="1"/>
        <v>1.25</v>
      </c>
      <c r="G62" s="21"/>
    </row>
    <row r="63" spans="2:7" x14ac:dyDescent="0.25">
      <c r="B63" s="2" t="s">
        <v>98</v>
      </c>
      <c r="C63" s="17" t="s">
        <v>106</v>
      </c>
      <c r="D63" s="21">
        <f>VLOOKUP(C63,GroceryListCalculator!A:H,4,0)</f>
        <v>5</v>
      </c>
      <c r="E63" s="16">
        <v>0.08</v>
      </c>
      <c r="F63" s="21">
        <f t="shared" si="1"/>
        <v>0.4</v>
      </c>
      <c r="G63" s="21"/>
    </row>
    <row r="64" spans="2:7" x14ac:dyDescent="0.25">
      <c r="B64" s="2" t="s">
        <v>98</v>
      </c>
      <c r="C64" s="17" t="s">
        <v>57</v>
      </c>
      <c r="D64" s="21">
        <f>VLOOKUP(C64,GroceryListCalculator!A:H,4,0)</f>
        <v>5</v>
      </c>
      <c r="E64" s="16">
        <v>0.05</v>
      </c>
      <c r="F64" s="21">
        <f t="shared" si="1"/>
        <v>0.25</v>
      </c>
      <c r="G64" s="21"/>
    </row>
    <row r="65" spans="2:7" x14ac:dyDescent="0.25">
      <c r="B65" s="2" t="s">
        <v>98</v>
      </c>
      <c r="C65" s="17" t="s">
        <v>84</v>
      </c>
      <c r="D65" s="21">
        <f>VLOOKUP(C65,GroceryListCalculator!A:H,4,0)</f>
        <v>5</v>
      </c>
      <c r="E65" s="16">
        <v>3.125E-2</v>
      </c>
      <c r="F65" s="21">
        <f t="shared" si="1"/>
        <v>0.15625</v>
      </c>
      <c r="G65" s="21"/>
    </row>
    <row r="66" spans="2:7" x14ac:dyDescent="0.25">
      <c r="B66" s="2" t="s">
        <v>153</v>
      </c>
      <c r="C66" s="17" t="s">
        <v>110</v>
      </c>
      <c r="D66" s="21">
        <f>VLOOKUP(C66,GroceryListCalculator!A:H,4,0)</f>
        <v>5</v>
      </c>
      <c r="E66" s="16">
        <v>0.125</v>
      </c>
      <c r="F66" s="21">
        <f t="shared" ref="F66:F97" si="2">D66*E66</f>
        <v>0.625</v>
      </c>
      <c r="G66" s="21">
        <f>SUM(F66:F69)</f>
        <v>3.03125</v>
      </c>
    </row>
    <row r="67" spans="2:7" x14ac:dyDescent="0.25">
      <c r="B67" s="2" t="s">
        <v>153</v>
      </c>
      <c r="C67" s="17" t="s">
        <v>41</v>
      </c>
      <c r="D67" s="21">
        <f>VLOOKUP(C67,GroceryListCalculator!A:H,4,0)</f>
        <v>5</v>
      </c>
      <c r="E67" s="16">
        <v>0.2</v>
      </c>
      <c r="F67" s="21">
        <f t="shared" si="2"/>
        <v>1</v>
      </c>
      <c r="G67" s="21"/>
    </row>
    <row r="68" spans="2:7" x14ac:dyDescent="0.25">
      <c r="B68" s="2" t="s">
        <v>153</v>
      </c>
      <c r="C68" s="17" t="s">
        <v>72</v>
      </c>
      <c r="D68" s="21">
        <f>VLOOKUP(C68,GroceryListCalculator!A:H,4,0)</f>
        <v>5</v>
      </c>
      <c r="E68" s="16">
        <v>0.25</v>
      </c>
      <c r="F68" s="21">
        <f t="shared" si="2"/>
        <v>1.25</v>
      </c>
      <c r="G68" s="21"/>
    </row>
    <row r="69" spans="2:7" x14ac:dyDescent="0.25">
      <c r="B69" s="2" t="s">
        <v>153</v>
      </c>
      <c r="C69" s="17" t="s">
        <v>119</v>
      </c>
      <c r="D69" s="21">
        <f>VLOOKUP(C69,GroceryListCalculator!A:H,4,0)</f>
        <v>5</v>
      </c>
      <c r="E69" s="16">
        <v>3.125E-2</v>
      </c>
      <c r="F69" s="21">
        <f t="shared" si="2"/>
        <v>0.15625</v>
      </c>
      <c r="G69" s="21"/>
    </row>
    <row r="70" spans="2:7" x14ac:dyDescent="0.25">
      <c r="B70" s="2" t="s">
        <v>165</v>
      </c>
      <c r="C70" s="17" t="s">
        <v>161</v>
      </c>
      <c r="D70" s="21">
        <f>VLOOKUP(C70,GroceryListCalculator!A:H,4,0)</f>
        <v>5</v>
      </c>
      <c r="E70" s="16">
        <v>0.4</v>
      </c>
      <c r="F70" s="21">
        <f t="shared" si="2"/>
        <v>2</v>
      </c>
      <c r="G70" s="21">
        <f>SUM(F70:F71)</f>
        <v>3</v>
      </c>
    </row>
    <row r="71" spans="2:7" x14ac:dyDescent="0.25">
      <c r="B71" s="2" t="s">
        <v>165</v>
      </c>
      <c r="C71" s="17" t="s">
        <v>40</v>
      </c>
      <c r="D71" s="21">
        <f>VLOOKUP(C71,GroceryListCalculator!A:H,4,0)</f>
        <v>5</v>
      </c>
      <c r="E71" s="16">
        <v>0.2</v>
      </c>
      <c r="F71" s="21">
        <f t="shared" si="2"/>
        <v>1</v>
      </c>
      <c r="G71" s="21"/>
    </row>
    <row r="72" spans="2:7" x14ac:dyDescent="0.25">
      <c r="B72" s="2" t="s">
        <v>10</v>
      </c>
      <c r="C72" s="2" t="s">
        <v>10</v>
      </c>
      <c r="D72" s="21">
        <f>VLOOKUP(C72,GroceryListCalculator!A:H,4,0)</f>
        <v>5</v>
      </c>
      <c r="E72" s="16">
        <v>1</v>
      </c>
      <c r="F72" s="21">
        <f t="shared" si="2"/>
        <v>5</v>
      </c>
      <c r="G72" s="21">
        <v>8.85</v>
      </c>
    </row>
    <row r="73" spans="2:7" x14ac:dyDescent="0.25">
      <c r="B73" s="2" t="s">
        <v>14</v>
      </c>
      <c r="C73" s="2" t="s">
        <v>14</v>
      </c>
      <c r="D73" s="21">
        <f>VLOOKUP(C73,GroceryListCalculator!A:H,4,0)</f>
        <v>5</v>
      </c>
      <c r="E73" s="16">
        <v>1</v>
      </c>
      <c r="F73" s="21">
        <f t="shared" si="2"/>
        <v>5</v>
      </c>
      <c r="G73" s="21">
        <v>5.99</v>
      </c>
    </row>
    <row r="74" spans="2:7" x14ac:dyDescent="0.25">
      <c r="B74" s="2" t="s">
        <v>41</v>
      </c>
      <c r="C74" s="2" t="s">
        <v>41</v>
      </c>
      <c r="D74" s="21">
        <f>VLOOKUP(C74,GroceryListCalculator!A:H,4,0)</f>
        <v>5</v>
      </c>
      <c r="E74" s="16">
        <v>1</v>
      </c>
      <c r="F74" s="21">
        <f t="shared" si="2"/>
        <v>5</v>
      </c>
      <c r="G74" s="21">
        <v>4.29</v>
      </c>
    </row>
    <row r="75" spans="2:7" x14ac:dyDescent="0.25">
      <c r="B75" s="2" t="s">
        <v>154</v>
      </c>
      <c r="C75" s="2" t="s">
        <v>154</v>
      </c>
      <c r="D75" s="21">
        <f>VLOOKUP(C75,GroceryListCalculator!A:H,4,0)</f>
        <v>5</v>
      </c>
      <c r="E75" s="16">
        <v>1</v>
      </c>
      <c r="F75" s="21">
        <f t="shared" si="2"/>
        <v>5</v>
      </c>
      <c r="G75" s="21">
        <v>11.47</v>
      </c>
    </row>
    <row r="76" spans="2:7" x14ac:dyDescent="0.25">
      <c r="B76" s="2" t="s">
        <v>73</v>
      </c>
      <c r="C76" s="2" t="s">
        <v>73</v>
      </c>
      <c r="D76" s="21">
        <f>VLOOKUP(C76,GroceryListCalculator!A:H,4,0)</f>
        <v>5</v>
      </c>
      <c r="E76" s="16">
        <v>1</v>
      </c>
      <c r="F76" s="21">
        <f t="shared" si="2"/>
        <v>5</v>
      </c>
      <c r="G76" s="21">
        <v>5.66</v>
      </c>
    </row>
    <row r="77" spans="2:7" x14ac:dyDescent="0.25">
      <c r="B77" s="2" t="s">
        <v>74</v>
      </c>
      <c r="C77" s="2" t="s">
        <v>74</v>
      </c>
      <c r="D77" s="21">
        <f>VLOOKUP(C77,GroceryListCalculator!A:H,4,0)</f>
        <v>5</v>
      </c>
      <c r="E77" s="16">
        <v>2</v>
      </c>
      <c r="F77" s="21">
        <f t="shared" si="2"/>
        <v>10</v>
      </c>
      <c r="G77" s="21">
        <v>9.56</v>
      </c>
    </row>
    <row r="78" spans="2:7" x14ac:dyDescent="0.25">
      <c r="B78" s="2" t="s">
        <v>39</v>
      </c>
      <c r="C78" s="2" t="s">
        <v>39</v>
      </c>
      <c r="D78" s="21">
        <f>VLOOKUP(C78,GroceryListCalculator!A:H,4,0)</f>
        <v>5</v>
      </c>
      <c r="E78" s="16">
        <v>1</v>
      </c>
      <c r="F78" s="21">
        <f t="shared" si="2"/>
        <v>5</v>
      </c>
      <c r="G78" s="21">
        <v>6.94</v>
      </c>
    </row>
    <row r="79" spans="2:7" x14ac:dyDescent="0.25">
      <c r="B79" s="2" t="s">
        <v>9</v>
      </c>
      <c r="C79" s="2" t="s">
        <v>9</v>
      </c>
      <c r="D79" s="21">
        <f>VLOOKUP(C79,GroceryListCalculator!A:H,4,0)</f>
        <v>5</v>
      </c>
      <c r="E79" s="16">
        <v>1</v>
      </c>
      <c r="F79" s="21">
        <f t="shared" si="2"/>
        <v>5</v>
      </c>
      <c r="G79" s="21">
        <v>11.97</v>
      </c>
    </row>
    <row r="80" spans="2:7" x14ac:dyDescent="0.25">
      <c r="B80" s="2" t="s">
        <v>155</v>
      </c>
      <c r="C80" s="17" t="s">
        <v>106</v>
      </c>
      <c r="D80" s="21">
        <f>VLOOKUP(C80,GroceryListCalculator!A:H,4,0)</f>
        <v>5</v>
      </c>
      <c r="E80" s="16">
        <v>0.4</v>
      </c>
      <c r="F80" s="21">
        <f t="shared" si="2"/>
        <v>2</v>
      </c>
      <c r="G80" s="21">
        <f>SUM(F80:F84)</f>
        <v>4.416666666666667</v>
      </c>
    </row>
    <row r="81" spans="2:7" x14ac:dyDescent="0.25">
      <c r="B81" s="2" t="s">
        <v>155</v>
      </c>
      <c r="C81" s="17" t="s">
        <v>48</v>
      </c>
      <c r="D81" s="21">
        <f>VLOOKUP(C81,GroceryListCalculator!A:H,4,0)</f>
        <v>5</v>
      </c>
      <c r="E81" s="16">
        <v>0.25</v>
      </c>
      <c r="F81" s="21">
        <f t="shared" si="2"/>
        <v>1.25</v>
      </c>
      <c r="G81" s="21"/>
    </row>
    <row r="82" spans="2:7" x14ac:dyDescent="0.25">
      <c r="B82" s="2" t="s">
        <v>155</v>
      </c>
      <c r="C82" s="17" t="s">
        <v>146</v>
      </c>
      <c r="D82" s="21">
        <f>VLOOKUP(C82,GroceryListCalculator!A:H,4,0)</f>
        <v>5</v>
      </c>
      <c r="E82" s="16">
        <v>0.05</v>
      </c>
      <c r="F82" s="21">
        <f t="shared" si="2"/>
        <v>0.25</v>
      </c>
      <c r="G82" s="21"/>
    </row>
    <row r="83" spans="2:7" x14ac:dyDescent="0.25">
      <c r="B83" s="2" t="s">
        <v>155</v>
      </c>
      <c r="C83" s="17" t="s">
        <v>60</v>
      </c>
      <c r="D83" s="21">
        <f>VLOOKUP(C83,GroceryListCalculator!A:H,4,0)</f>
        <v>5</v>
      </c>
      <c r="E83" s="16">
        <v>0.1</v>
      </c>
      <c r="F83" s="21">
        <f t="shared" si="2"/>
        <v>0.5</v>
      </c>
      <c r="G83" s="21"/>
    </row>
    <row r="84" spans="2:7" x14ac:dyDescent="0.25">
      <c r="B84" s="2" t="s">
        <v>155</v>
      </c>
      <c r="C84" s="17" t="s">
        <v>120</v>
      </c>
      <c r="D84" s="21">
        <f>VLOOKUP(C84,GroceryListCalculator!A:H,4,0)</f>
        <v>5</v>
      </c>
      <c r="E84" s="16">
        <v>8.3333333333333329E-2</v>
      </c>
      <c r="F84" s="21">
        <f t="shared" si="2"/>
        <v>0.41666666666666663</v>
      </c>
      <c r="G84" s="21"/>
    </row>
    <row r="85" spans="2:7" x14ac:dyDescent="0.25">
      <c r="B85" s="2" t="s">
        <v>81</v>
      </c>
      <c r="C85" s="2" t="s">
        <v>81</v>
      </c>
      <c r="D85" s="21">
        <f>VLOOKUP(C85,GroceryListCalculator!A:H,4,0)</f>
        <v>5</v>
      </c>
      <c r="E85" s="16">
        <v>1</v>
      </c>
      <c r="F85" s="21">
        <f t="shared" si="2"/>
        <v>5</v>
      </c>
      <c r="G85" s="21">
        <f>SUM(F85:F87)</f>
        <v>5.5</v>
      </c>
    </row>
    <row r="86" spans="2:7" x14ac:dyDescent="0.25">
      <c r="B86" s="2" t="s">
        <v>81</v>
      </c>
      <c r="C86" s="17" t="s">
        <v>121</v>
      </c>
      <c r="D86" s="21">
        <f>VLOOKUP(C86,GroceryListCalculator!A:H,4,0)</f>
        <v>5</v>
      </c>
      <c r="E86" s="16">
        <v>0.05</v>
      </c>
      <c r="F86" s="21">
        <f t="shared" si="2"/>
        <v>0.25</v>
      </c>
      <c r="G86" s="21"/>
    </row>
    <row r="87" spans="2:7" x14ac:dyDescent="0.25">
      <c r="B87" s="2" t="s">
        <v>81</v>
      </c>
      <c r="C87" s="17" t="s">
        <v>82</v>
      </c>
      <c r="D87" s="21">
        <f>VLOOKUP(C87,GroceryListCalculator!A:H,4,0)</f>
        <v>5</v>
      </c>
      <c r="E87" s="16">
        <v>0.05</v>
      </c>
      <c r="F87" s="21">
        <f t="shared" si="2"/>
        <v>0.25</v>
      </c>
      <c r="G87" s="21"/>
    </row>
    <row r="88" spans="2:7" x14ac:dyDescent="0.25">
      <c r="B88" s="2" t="s">
        <v>156</v>
      </c>
      <c r="C88" s="17" t="s">
        <v>68</v>
      </c>
      <c r="D88" s="21">
        <f>VLOOKUP(C88,GroceryListCalculator!A:H,4,0)</f>
        <v>5</v>
      </c>
      <c r="E88" s="16">
        <v>1</v>
      </c>
      <c r="F88" s="21">
        <f t="shared" si="2"/>
        <v>5</v>
      </c>
      <c r="G88" s="21">
        <f>SUM(F88:F91)</f>
        <v>6</v>
      </c>
    </row>
    <row r="89" spans="2:7" x14ac:dyDescent="0.25">
      <c r="B89" s="2" t="s">
        <v>156</v>
      </c>
      <c r="C89" s="17" t="s">
        <v>55</v>
      </c>
      <c r="D89" s="21">
        <f>VLOOKUP(C89,GroceryListCalculator!A:H,4,0)</f>
        <v>5</v>
      </c>
      <c r="E89" s="16">
        <v>0.1</v>
      </c>
      <c r="F89" s="21">
        <f t="shared" si="2"/>
        <v>0.5</v>
      </c>
      <c r="G89" s="21"/>
    </row>
    <row r="90" spans="2:7" x14ac:dyDescent="0.25">
      <c r="B90" s="2" t="s">
        <v>156</v>
      </c>
      <c r="C90" s="17" t="s">
        <v>56</v>
      </c>
      <c r="D90" s="21">
        <f>VLOOKUP(C90,GroceryListCalculator!A:H,4,0)</f>
        <v>5</v>
      </c>
      <c r="E90" s="16">
        <v>0.05</v>
      </c>
      <c r="F90" s="21">
        <f t="shared" si="2"/>
        <v>0.25</v>
      </c>
      <c r="G90" s="21"/>
    </row>
    <row r="91" spans="2:7" x14ac:dyDescent="0.25">
      <c r="B91" s="2" t="s">
        <v>156</v>
      </c>
      <c r="C91" s="17" t="s">
        <v>57</v>
      </c>
      <c r="D91" s="21">
        <f>VLOOKUP(C91,GroceryListCalculator!A:H,4,0)</f>
        <v>5</v>
      </c>
      <c r="E91" s="16">
        <v>0.05</v>
      </c>
      <c r="F91" s="21">
        <f t="shared" si="2"/>
        <v>0.25</v>
      </c>
      <c r="G91" s="21"/>
    </row>
    <row r="92" spans="2:7" x14ac:dyDescent="0.25">
      <c r="B92" s="2" t="s">
        <v>157</v>
      </c>
      <c r="C92" s="17" t="s">
        <v>58</v>
      </c>
      <c r="D92" s="21">
        <f>VLOOKUP(C92,GroceryListCalculator!A:H,4,0)</f>
        <v>5</v>
      </c>
      <c r="E92" s="16">
        <v>0.25</v>
      </c>
      <c r="F92" s="21">
        <f t="shared" si="2"/>
        <v>1.25</v>
      </c>
      <c r="G92" s="21">
        <f>SUM(F92:F95)</f>
        <v>4.25</v>
      </c>
    </row>
    <row r="93" spans="2:7" x14ac:dyDescent="0.25">
      <c r="B93" s="2" t="s">
        <v>157</v>
      </c>
      <c r="C93" s="17" t="s">
        <v>59</v>
      </c>
      <c r="D93" s="21">
        <f>VLOOKUP(C93,GroceryListCalculator!A:H,4,0)</f>
        <v>5</v>
      </c>
      <c r="E93" s="16">
        <v>0.25</v>
      </c>
      <c r="F93" s="21">
        <f t="shared" si="2"/>
        <v>1.25</v>
      </c>
      <c r="G93" s="21"/>
    </row>
    <row r="94" spans="2:7" x14ac:dyDescent="0.25">
      <c r="B94" s="2" t="s">
        <v>157</v>
      </c>
      <c r="C94" s="17" t="s">
        <v>60</v>
      </c>
      <c r="D94" s="21">
        <f>VLOOKUP(C94,GroceryListCalculator!A:H,4,0)</f>
        <v>5</v>
      </c>
      <c r="E94" s="16">
        <v>0.1</v>
      </c>
      <c r="F94" s="21">
        <f t="shared" si="2"/>
        <v>0.5</v>
      </c>
      <c r="G94" s="21"/>
    </row>
    <row r="95" spans="2:7" x14ac:dyDescent="0.25">
      <c r="B95" s="2" t="s">
        <v>157</v>
      </c>
      <c r="C95" s="17" t="s">
        <v>61</v>
      </c>
      <c r="D95" s="21">
        <f>VLOOKUP(C95,GroceryListCalculator!A:H,4,0)</f>
        <v>5</v>
      </c>
      <c r="E95" s="16">
        <v>0.25</v>
      </c>
      <c r="F95" s="21">
        <f t="shared" si="2"/>
        <v>1.25</v>
      </c>
      <c r="G95" s="21"/>
    </row>
    <row r="96" spans="2:7" x14ac:dyDescent="0.25">
      <c r="B96" s="2" t="s">
        <v>122</v>
      </c>
      <c r="C96" s="2" t="s">
        <v>122</v>
      </c>
      <c r="D96" s="21">
        <f>VLOOKUP(C96,GroceryListCalculator!A:H,4,0)</f>
        <v>5</v>
      </c>
      <c r="E96" s="16">
        <v>0.5</v>
      </c>
      <c r="F96" s="21">
        <f t="shared" si="2"/>
        <v>2.5</v>
      </c>
      <c r="G96" s="21">
        <v>0.99</v>
      </c>
    </row>
    <row r="97" spans="2:7" x14ac:dyDescent="0.25">
      <c r="B97" s="2" t="s">
        <v>123</v>
      </c>
      <c r="C97" s="2" t="s">
        <v>123</v>
      </c>
      <c r="D97" s="21">
        <f>VLOOKUP(C97,GroceryListCalculator!A:H,4,0)</f>
        <v>5</v>
      </c>
      <c r="E97" s="16">
        <v>0.33</v>
      </c>
      <c r="F97" s="21">
        <f t="shared" si="2"/>
        <v>1.6500000000000001</v>
      </c>
      <c r="G97" s="21">
        <v>0.40260000000000001</v>
      </c>
    </row>
    <row r="98" spans="2:7" x14ac:dyDescent="0.25">
      <c r="B98" s="2" t="s">
        <v>12</v>
      </c>
      <c r="C98" s="2" t="s">
        <v>12</v>
      </c>
      <c r="D98" s="21">
        <f>VLOOKUP(C98,GroceryListCalculator!A:H,4,0)</f>
        <v>5</v>
      </c>
      <c r="E98" s="16">
        <v>0.8</v>
      </c>
      <c r="F98" s="21">
        <f t="shared" ref="F98:F129" si="3">D98*E98</f>
        <v>4</v>
      </c>
      <c r="G98" s="21">
        <v>2.3679999999999999</v>
      </c>
    </row>
    <row r="99" spans="2:7" x14ac:dyDescent="0.25">
      <c r="B99" s="2" t="s">
        <v>62</v>
      </c>
      <c r="C99" s="2" t="s">
        <v>62</v>
      </c>
      <c r="D99" s="21">
        <f>VLOOKUP(C99,GroceryListCalculator!A:H,4,0)</f>
        <v>5</v>
      </c>
      <c r="E99" s="16">
        <v>0.35</v>
      </c>
      <c r="F99" s="21">
        <f t="shared" si="3"/>
        <v>1.75</v>
      </c>
      <c r="G99" s="21">
        <v>0.69299999999999995</v>
      </c>
    </row>
    <row r="100" spans="2:7" x14ac:dyDescent="0.25">
      <c r="B100" s="2" t="s">
        <v>63</v>
      </c>
      <c r="C100" s="2" t="s">
        <v>63</v>
      </c>
      <c r="D100" s="21">
        <f>VLOOKUP(C100,GroceryListCalculator!A:H,4,0)</f>
        <v>5</v>
      </c>
      <c r="E100" s="16">
        <v>0.5</v>
      </c>
      <c r="F100" s="21">
        <f t="shared" si="3"/>
        <v>2.5</v>
      </c>
      <c r="G100" s="21">
        <v>0.97</v>
      </c>
    </row>
    <row r="101" spans="2:7" x14ac:dyDescent="0.25">
      <c r="B101" s="2" t="s">
        <v>158</v>
      </c>
      <c r="C101" s="2" t="s">
        <v>68</v>
      </c>
      <c r="D101" s="21">
        <f>VLOOKUP(C101,GroceryListCalculator!A:H,4,0)</f>
        <v>5</v>
      </c>
      <c r="E101" s="16">
        <v>0.5</v>
      </c>
      <c r="F101" s="21">
        <f t="shared" si="3"/>
        <v>2.5</v>
      </c>
      <c r="G101" s="21">
        <v>0.49</v>
      </c>
    </row>
    <row r="102" spans="2:7" x14ac:dyDescent="0.25">
      <c r="B102" s="2" t="s">
        <v>69</v>
      </c>
      <c r="C102" s="2" t="s">
        <v>69</v>
      </c>
      <c r="D102" s="21">
        <f>VLOOKUP(C102,GroceryListCalculator!A:H,4,0)</f>
        <v>5</v>
      </c>
      <c r="E102" s="16">
        <v>0.3</v>
      </c>
      <c r="F102" s="21">
        <f t="shared" si="3"/>
        <v>1.5</v>
      </c>
      <c r="G102" s="21">
        <v>0.35399999999999998</v>
      </c>
    </row>
    <row r="103" spans="2:7" x14ac:dyDescent="0.25">
      <c r="B103" s="2" t="s">
        <v>159</v>
      </c>
      <c r="C103" s="2" t="s">
        <v>145</v>
      </c>
      <c r="D103" s="21">
        <f>VLOOKUP(C103,GroceryListCalculator!A:H,4,0)</f>
        <v>5</v>
      </c>
      <c r="E103" s="16">
        <v>0.5</v>
      </c>
      <c r="F103" s="21">
        <f t="shared" si="3"/>
        <v>2.5</v>
      </c>
      <c r="G103" s="21">
        <v>0.35</v>
      </c>
    </row>
    <row r="104" spans="2:7" x14ac:dyDescent="0.25">
      <c r="B104" s="2" t="s">
        <v>67</v>
      </c>
      <c r="C104" s="2" t="s">
        <v>67</v>
      </c>
      <c r="D104" s="21">
        <f>VLOOKUP(C104,GroceryListCalculator!A:H,4,0)</f>
        <v>5</v>
      </c>
      <c r="E104" s="16">
        <v>0.1</v>
      </c>
      <c r="F104" s="21">
        <f t="shared" si="3"/>
        <v>0.5</v>
      </c>
      <c r="G104" s="21">
        <v>0.48200000000000004</v>
      </c>
    </row>
    <row r="105" spans="2:7" x14ac:dyDescent="0.25">
      <c r="B105" s="2" t="s">
        <v>70</v>
      </c>
      <c r="C105" s="2" t="s">
        <v>70</v>
      </c>
      <c r="D105" s="21">
        <f>VLOOKUP(C105,GroceryListCalculator!A:H,4,0)</f>
        <v>5</v>
      </c>
      <c r="E105" s="16">
        <v>0.1</v>
      </c>
      <c r="F105" s="21">
        <f t="shared" si="3"/>
        <v>0.5</v>
      </c>
      <c r="G105" s="21">
        <v>0.29700000000000004</v>
      </c>
    </row>
    <row r="106" spans="2:7" x14ac:dyDescent="0.25">
      <c r="B106" s="2" t="s">
        <v>124</v>
      </c>
      <c r="C106" s="2" t="s">
        <v>124</v>
      </c>
      <c r="D106" s="21">
        <f>VLOOKUP(C106,GroceryListCalculator!A:H,4,0)</f>
        <v>5</v>
      </c>
      <c r="E106" s="16">
        <v>8.3333333333333329E-2</v>
      </c>
      <c r="F106" s="21">
        <f t="shared" si="3"/>
        <v>0.41666666666666663</v>
      </c>
      <c r="G106" s="21">
        <v>0.2475</v>
      </c>
    </row>
    <row r="107" spans="2:7" x14ac:dyDescent="0.25">
      <c r="B107" s="2" t="s">
        <v>71</v>
      </c>
      <c r="C107" s="2" t="s">
        <v>71</v>
      </c>
      <c r="D107" s="21">
        <f>VLOOKUP(C107,GroceryListCalculator!A:H,4,0)</f>
        <v>5</v>
      </c>
      <c r="E107" s="16">
        <v>8.3333333333333329E-2</v>
      </c>
      <c r="F107" s="21">
        <f t="shared" si="3"/>
        <v>0.41666666666666663</v>
      </c>
      <c r="G107" s="21">
        <v>0.33083333333333331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EEC7E-2AE7-43BB-AC34-A422135707DB}">
  <sheetPr codeName="Sheet7"/>
  <dimension ref="A1:H107"/>
  <sheetViews>
    <sheetView workbookViewId="0">
      <selection activeCell="A9" sqref="A9"/>
    </sheetView>
  </sheetViews>
  <sheetFormatPr defaultRowHeight="15" x14ac:dyDescent="0.25"/>
  <cols>
    <col min="1" max="1" width="27.7109375" customWidth="1"/>
    <col min="2" max="2" width="10.7109375" style="63" bestFit="1" customWidth="1"/>
    <col min="3" max="3" width="13.42578125" style="4" bestFit="1" customWidth="1"/>
    <col min="4" max="4" width="16.85546875" bestFit="1" customWidth="1"/>
    <col min="5" max="5" width="22.140625" bestFit="1" customWidth="1"/>
    <col min="6" max="6" width="10" bestFit="1" customWidth="1"/>
    <col min="7" max="7" width="21" style="20" bestFit="1" customWidth="1"/>
    <col min="8" max="8" width="23.140625" bestFit="1" customWidth="1"/>
  </cols>
  <sheetData>
    <row r="1" spans="1:8" x14ac:dyDescent="0.25">
      <c r="A1" s="15" t="s">
        <v>109</v>
      </c>
      <c r="B1" s="61" t="s">
        <v>125</v>
      </c>
      <c r="C1" s="15" t="s">
        <v>183</v>
      </c>
      <c r="D1" s="1" t="s">
        <v>107</v>
      </c>
      <c r="E1" s="15" t="s">
        <v>182</v>
      </c>
      <c r="F1" s="15" t="s">
        <v>166</v>
      </c>
      <c r="G1" s="22" t="s">
        <v>163</v>
      </c>
      <c r="H1" s="15" t="s">
        <v>184</v>
      </c>
    </row>
    <row r="2" spans="1:8" x14ac:dyDescent="0.25">
      <c r="A2" s="2" t="s">
        <v>111</v>
      </c>
      <c r="B2" s="62">
        <f>FruitSnack</f>
        <v>0</v>
      </c>
      <c r="C2" s="16">
        <f>MealPlannerPrice!E2*B2</f>
        <v>0</v>
      </c>
      <c r="D2" s="2">
        <v>5</v>
      </c>
      <c r="E2" s="2">
        <f t="shared" ref="E2:E33" si="0">C2*D2</f>
        <v>0</v>
      </c>
      <c r="F2" s="2">
        <f t="shared" ref="F2:F33" si="1">ROUNDUP(E2,0)</f>
        <v>0</v>
      </c>
      <c r="G2" s="21">
        <f>VLOOKUP(A2,PriceSheet!B:D,3,0)</f>
        <v>4.4000000000000004</v>
      </c>
      <c r="H2" s="21">
        <f t="shared" ref="H2:H33" si="2">F2*G2</f>
        <v>0</v>
      </c>
    </row>
    <row r="3" spans="1:8" x14ac:dyDescent="0.25">
      <c r="A3" s="2" t="s">
        <v>112</v>
      </c>
      <c r="B3" s="62">
        <f>Chips</f>
        <v>1</v>
      </c>
      <c r="C3" s="16">
        <f>MealPlannerPrice!E3*B3</f>
        <v>0.05</v>
      </c>
      <c r="D3" s="2">
        <v>5</v>
      </c>
      <c r="E3" s="2">
        <f t="shared" si="0"/>
        <v>0.25</v>
      </c>
      <c r="F3" s="2">
        <f t="shared" si="1"/>
        <v>1</v>
      </c>
      <c r="G3" s="21">
        <f>VLOOKUP(A3,PriceSheet!B:D,3,0)</f>
        <v>8.44</v>
      </c>
      <c r="H3" s="21">
        <f t="shared" si="2"/>
        <v>8.44</v>
      </c>
    </row>
    <row r="4" spans="1:8" x14ac:dyDescent="0.25">
      <c r="A4" s="2" t="s">
        <v>64</v>
      </c>
      <c r="B4" s="62">
        <f>Apples</f>
        <v>2</v>
      </c>
      <c r="C4" s="16">
        <f>MealPlannerPrice!E4*B4</f>
        <v>2</v>
      </c>
      <c r="D4" s="2">
        <v>5</v>
      </c>
      <c r="E4" s="2">
        <f t="shared" si="0"/>
        <v>10</v>
      </c>
      <c r="F4" s="2">
        <f t="shared" si="1"/>
        <v>10</v>
      </c>
      <c r="G4" s="21">
        <f>VLOOKUP(A4,PriceSheet!B:D,3,0)</f>
        <v>0.74</v>
      </c>
      <c r="H4" s="21">
        <f t="shared" si="2"/>
        <v>7.4</v>
      </c>
    </row>
    <row r="5" spans="1:8" x14ac:dyDescent="0.25">
      <c r="A5" s="2" t="s">
        <v>65</v>
      </c>
      <c r="B5" s="62">
        <f>Banana</f>
        <v>3</v>
      </c>
      <c r="C5" s="16">
        <f>MealPlannerPrice!E5*B5</f>
        <v>3</v>
      </c>
      <c r="D5" s="2">
        <v>5</v>
      </c>
      <c r="E5" s="2">
        <f t="shared" si="0"/>
        <v>15</v>
      </c>
      <c r="F5" s="2">
        <f t="shared" si="1"/>
        <v>15</v>
      </c>
      <c r="G5" s="21">
        <f>VLOOKUP(A5,PriceSheet!B:D,3,0)</f>
        <v>0.24</v>
      </c>
      <c r="H5" s="21">
        <f t="shared" si="2"/>
        <v>3.5999999999999996</v>
      </c>
    </row>
    <row r="6" spans="1:8" x14ac:dyDescent="0.25">
      <c r="A6" s="2" t="s">
        <v>66</v>
      </c>
      <c r="B6" s="62">
        <f>Oranges</f>
        <v>1</v>
      </c>
      <c r="C6" s="16">
        <f>MealPlannerPrice!E6*B6</f>
        <v>1</v>
      </c>
      <c r="D6" s="2">
        <v>5</v>
      </c>
      <c r="E6" s="2">
        <f t="shared" si="0"/>
        <v>5</v>
      </c>
      <c r="F6" s="2">
        <f t="shared" si="1"/>
        <v>5</v>
      </c>
      <c r="G6" s="21">
        <f>VLOOKUP(A6,PriceSheet!B:D,3,0)</f>
        <v>1.536</v>
      </c>
      <c r="H6" s="21">
        <f t="shared" si="2"/>
        <v>7.68</v>
      </c>
    </row>
    <row r="7" spans="1:8" x14ac:dyDescent="0.25">
      <c r="A7" s="2" t="s">
        <v>113</v>
      </c>
      <c r="B7" s="62">
        <f>NutriBars</f>
        <v>1</v>
      </c>
      <c r="C7" s="16">
        <f>MealPlannerPrice!E7*B7</f>
        <v>0.125</v>
      </c>
      <c r="D7" s="2">
        <v>5</v>
      </c>
      <c r="E7" s="2">
        <f t="shared" si="0"/>
        <v>0.625</v>
      </c>
      <c r="F7" s="2">
        <f t="shared" si="1"/>
        <v>1</v>
      </c>
      <c r="G7" s="21">
        <f>VLOOKUP(A7,PriceSheet!B:D,3,0)</f>
        <v>4.78</v>
      </c>
      <c r="H7" s="21">
        <f t="shared" si="2"/>
        <v>4.78</v>
      </c>
    </row>
    <row r="8" spans="1:8" x14ac:dyDescent="0.25">
      <c r="A8" s="2" t="s">
        <v>114</v>
      </c>
      <c r="B8" s="62">
        <f>Graham</f>
        <v>1</v>
      </c>
      <c r="C8" s="16">
        <f>MealPlannerPrice!E8*B8</f>
        <v>0.125</v>
      </c>
      <c r="D8" s="2">
        <v>5</v>
      </c>
      <c r="E8" s="2">
        <f t="shared" si="0"/>
        <v>0.625</v>
      </c>
      <c r="F8" s="2">
        <f t="shared" si="1"/>
        <v>1</v>
      </c>
      <c r="G8" s="21">
        <f>VLOOKUP(A8,PriceSheet!B:D,3,0)</f>
        <v>3.22</v>
      </c>
      <c r="H8" s="21">
        <f t="shared" si="2"/>
        <v>3.22</v>
      </c>
    </row>
    <row r="9" spans="1:8" x14ac:dyDescent="0.25">
      <c r="A9" s="2" t="s">
        <v>51</v>
      </c>
      <c r="B9" s="62">
        <f>Yogurt</f>
        <v>1</v>
      </c>
      <c r="C9" s="16">
        <f>MealPlannerPrice!E9*B9</f>
        <v>1</v>
      </c>
      <c r="D9" s="2">
        <v>5</v>
      </c>
      <c r="E9" s="2">
        <f t="shared" si="0"/>
        <v>5</v>
      </c>
      <c r="F9" s="2">
        <f t="shared" si="1"/>
        <v>5</v>
      </c>
      <c r="G9" s="21">
        <f>VLOOKUP(A9,PriceSheet!B:D,3,0)</f>
        <v>1.34</v>
      </c>
      <c r="H9" s="21">
        <f t="shared" si="2"/>
        <v>6.7</v>
      </c>
    </row>
    <row r="10" spans="1:8" x14ac:dyDescent="0.25">
      <c r="A10" s="2" t="s">
        <v>37</v>
      </c>
      <c r="B10" s="62">
        <f>Toast</f>
        <v>3</v>
      </c>
      <c r="C10" s="16">
        <f>MealPlannerPrice!E10*B10</f>
        <v>0.375</v>
      </c>
      <c r="D10" s="2">
        <v>5</v>
      </c>
      <c r="E10" s="2">
        <f t="shared" si="0"/>
        <v>1.875</v>
      </c>
      <c r="F10" s="2">
        <f t="shared" si="1"/>
        <v>2</v>
      </c>
      <c r="G10" s="21">
        <f>VLOOKUP(A10,PriceSheet!B:D,3,0)</f>
        <v>2.93</v>
      </c>
      <c r="H10" s="21">
        <f t="shared" si="2"/>
        <v>5.86</v>
      </c>
    </row>
    <row r="11" spans="1:8" x14ac:dyDescent="0.25">
      <c r="A11" s="2" t="s">
        <v>115</v>
      </c>
      <c r="B11" s="62">
        <f>PopTart</f>
        <v>1</v>
      </c>
      <c r="C11" s="16">
        <f>MealPlannerPrice!E11*B11</f>
        <v>0.125</v>
      </c>
      <c r="D11" s="2">
        <v>5</v>
      </c>
      <c r="E11" s="2">
        <f t="shared" si="0"/>
        <v>0.625</v>
      </c>
      <c r="F11" s="2">
        <f t="shared" si="1"/>
        <v>1</v>
      </c>
      <c r="G11" s="21">
        <f>VLOOKUP(A11,PriceSheet!B:D,3,0)</f>
        <v>3</v>
      </c>
      <c r="H11" s="21">
        <f t="shared" si="2"/>
        <v>3</v>
      </c>
    </row>
    <row r="12" spans="1:8" x14ac:dyDescent="0.25">
      <c r="A12" s="2" t="s">
        <v>86</v>
      </c>
      <c r="B12" s="62">
        <f>CerealBar</f>
        <v>0</v>
      </c>
      <c r="C12" s="16">
        <f>MealPlannerPrice!E12*B12</f>
        <v>0</v>
      </c>
      <c r="D12" s="2">
        <v>5</v>
      </c>
      <c r="E12" s="2">
        <f t="shared" si="0"/>
        <v>0</v>
      </c>
      <c r="F12" s="2">
        <f t="shared" si="1"/>
        <v>0</v>
      </c>
      <c r="G12" s="21">
        <f>VLOOKUP(A12,PriceSheet!B:D,3,0)</f>
        <v>5.48</v>
      </c>
      <c r="H12" s="21">
        <f t="shared" si="2"/>
        <v>0</v>
      </c>
    </row>
    <row r="13" spans="1:8" x14ac:dyDescent="0.25">
      <c r="A13" s="2" t="s">
        <v>38</v>
      </c>
      <c r="B13" s="62">
        <f>Coffee</f>
        <v>0</v>
      </c>
      <c r="C13" s="16">
        <f>MealPlannerPrice!E13*B13</f>
        <v>0</v>
      </c>
      <c r="D13" s="2">
        <v>5</v>
      </c>
      <c r="E13" s="2">
        <f t="shared" si="0"/>
        <v>0</v>
      </c>
      <c r="F13" s="2">
        <f t="shared" si="1"/>
        <v>0</v>
      </c>
      <c r="G13" s="21">
        <f>VLOOKUP(A13,PriceSheet!B:D,3,0)</f>
        <v>3.92</v>
      </c>
      <c r="H13" s="21">
        <f t="shared" si="2"/>
        <v>0</v>
      </c>
    </row>
    <row r="14" spans="1:8" x14ac:dyDescent="0.25">
      <c r="A14" s="2" t="s">
        <v>85</v>
      </c>
      <c r="B14" s="62">
        <f>Egg</f>
        <v>3</v>
      </c>
      <c r="C14" s="16">
        <f>MealPlannerPrice!E14*B14</f>
        <v>1.02</v>
      </c>
      <c r="D14" s="2">
        <v>5</v>
      </c>
      <c r="E14" s="2">
        <f t="shared" si="0"/>
        <v>5.0999999999999996</v>
      </c>
      <c r="F14" s="2">
        <f t="shared" si="1"/>
        <v>6</v>
      </c>
      <c r="G14" s="21">
        <f>VLOOKUP(A14,PriceSheet!B:D,3,0)</f>
        <v>4.97</v>
      </c>
      <c r="H14" s="21">
        <f t="shared" si="2"/>
        <v>29.82</v>
      </c>
    </row>
    <row r="15" spans="1:8" x14ac:dyDescent="0.25">
      <c r="A15" s="2" t="s">
        <v>54</v>
      </c>
      <c r="B15" s="62">
        <f>Bacon</f>
        <v>1</v>
      </c>
      <c r="C15" s="16">
        <f>MealPlannerPrice!E15*B15</f>
        <v>0.16666666666666666</v>
      </c>
      <c r="D15" s="2">
        <v>5</v>
      </c>
      <c r="E15" s="2">
        <f t="shared" si="0"/>
        <v>0.83333333333333326</v>
      </c>
      <c r="F15" s="2">
        <f t="shared" si="1"/>
        <v>1</v>
      </c>
      <c r="G15" s="21">
        <f>VLOOKUP(A15,PriceSheet!B:D,3,0)</f>
        <v>3.47</v>
      </c>
      <c r="H15" s="21">
        <f t="shared" si="2"/>
        <v>3.47</v>
      </c>
    </row>
    <row r="16" spans="1:8" x14ac:dyDescent="0.25">
      <c r="A16" s="2" t="s">
        <v>80</v>
      </c>
      <c r="B16" s="62">
        <f>Biscuit</f>
        <v>1</v>
      </c>
      <c r="C16" s="16">
        <f>MealPlannerPrice!E16*B16</f>
        <v>0.25</v>
      </c>
      <c r="D16" s="2">
        <v>5</v>
      </c>
      <c r="E16" s="2">
        <f t="shared" si="0"/>
        <v>1.25</v>
      </c>
      <c r="F16" s="2">
        <f t="shared" si="1"/>
        <v>2</v>
      </c>
      <c r="G16" s="21">
        <f>VLOOKUP(A16,PriceSheet!B:D,3,0)</f>
        <v>1.98</v>
      </c>
      <c r="H16" s="21">
        <f t="shared" si="2"/>
        <v>3.96</v>
      </c>
    </row>
    <row r="17" spans="1:8" x14ac:dyDescent="0.25">
      <c r="A17" s="2" t="s">
        <v>105</v>
      </c>
      <c r="B17" s="62">
        <f>gravy</f>
        <v>0</v>
      </c>
      <c r="C17" s="16">
        <f>MealPlannerPrice!E17*B17</f>
        <v>0</v>
      </c>
      <c r="D17" s="2">
        <v>5</v>
      </c>
      <c r="E17" s="2">
        <f t="shared" si="0"/>
        <v>0</v>
      </c>
      <c r="F17" s="2">
        <f t="shared" si="1"/>
        <v>0</v>
      </c>
      <c r="G17" s="21">
        <f>VLOOKUP(A17,PriceSheet!B:D,3,0)</f>
        <v>0.88</v>
      </c>
      <c r="H17" s="21">
        <f t="shared" si="2"/>
        <v>0</v>
      </c>
    </row>
    <row r="18" spans="1:8" x14ac:dyDescent="0.25">
      <c r="A18" s="2" t="s">
        <v>116</v>
      </c>
      <c r="B18" s="62">
        <f>Pancake</f>
        <v>2</v>
      </c>
      <c r="C18" s="16">
        <f>MealPlannerPrice!E18*B18</f>
        <v>0.4</v>
      </c>
      <c r="D18" s="2">
        <v>5</v>
      </c>
      <c r="E18" s="2">
        <f t="shared" si="0"/>
        <v>2</v>
      </c>
      <c r="F18" s="2">
        <f t="shared" si="1"/>
        <v>2</v>
      </c>
      <c r="G18" s="21">
        <f>VLOOKUP(A18,PriceSheet!B:D,3,0)</f>
        <v>2.5</v>
      </c>
      <c r="H18" s="21">
        <f t="shared" si="2"/>
        <v>5</v>
      </c>
    </row>
    <row r="19" spans="1:8" x14ac:dyDescent="0.25">
      <c r="A19" s="2" t="s">
        <v>117</v>
      </c>
      <c r="B19" s="62">
        <f>Waffle</f>
        <v>0</v>
      </c>
      <c r="C19" s="16">
        <f>MealPlannerPrice!E19*B19</f>
        <v>0</v>
      </c>
      <c r="D19" s="2">
        <v>5</v>
      </c>
      <c r="E19" s="2">
        <f t="shared" si="0"/>
        <v>0</v>
      </c>
      <c r="F19" s="2">
        <f t="shared" si="1"/>
        <v>0</v>
      </c>
      <c r="G19" s="21">
        <f>VLOOKUP(A19,PriceSheet!B:D,3,0)</f>
        <v>2.17</v>
      </c>
      <c r="H19" s="21">
        <f t="shared" si="2"/>
        <v>0</v>
      </c>
    </row>
    <row r="20" spans="1:8" x14ac:dyDescent="0.25">
      <c r="A20" s="2" t="s">
        <v>53</v>
      </c>
      <c r="B20" s="62">
        <f>Cereal</f>
        <v>1</v>
      </c>
      <c r="C20" s="16">
        <f>MealPlannerPrice!E20*B20</f>
        <v>8.3333333333333329E-2</v>
      </c>
      <c r="D20" s="2">
        <v>5</v>
      </c>
      <c r="E20" s="2">
        <f t="shared" si="0"/>
        <v>0.41666666666666663</v>
      </c>
      <c r="F20" s="2">
        <f t="shared" si="1"/>
        <v>1</v>
      </c>
      <c r="G20" s="21">
        <f>VLOOKUP(A20,PriceSheet!B:D,3,0)</f>
        <v>3.64</v>
      </c>
      <c r="H20" s="21">
        <f t="shared" si="2"/>
        <v>3.64</v>
      </c>
    </row>
    <row r="21" spans="1:8" x14ac:dyDescent="0.25">
      <c r="A21" s="2" t="s">
        <v>52</v>
      </c>
      <c r="B21" s="62">
        <f>Granola</f>
        <v>1</v>
      </c>
      <c r="C21" s="16">
        <f>MealPlannerPrice!E21*B21</f>
        <v>8.3333333333333329E-2</v>
      </c>
      <c r="D21" s="2">
        <v>5</v>
      </c>
      <c r="E21" s="2">
        <f t="shared" si="0"/>
        <v>0.41666666666666663</v>
      </c>
      <c r="F21" s="2">
        <f t="shared" si="1"/>
        <v>1</v>
      </c>
      <c r="G21" s="21">
        <f>VLOOKUP(A21,PriceSheet!B:D,3,0)</f>
        <v>3.78</v>
      </c>
      <c r="H21" s="21">
        <f t="shared" si="2"/>
        <v>3.78</v>
      </c>
    </row>
    <row r="22" spans="1:8" x14ac:dyDescent="0.25">
      <c r="A22" s="17" t="s">
        <v>49</v>
      </c>
      <c r="B22" s="62">
        <f>PBandJ</f>
        <v>1</v>
      </c>
      <c r="C22" s="16">
        <f>MealPlannerPrice!E22*B22</f>
        <v>0.05</v>
      </c>
      <c r="D22" s="2">
        <v>5</v>
      </c>
      <c r="E22" s="2">
        <f t="shared" si="0"/>
        <v>0.25</v>
      </c>
      <c r="F22" s="2">
        <f t="shared" si="1"/>
        <v>1</v>
      </c>
      <c r="G22" s="21">
        <f>VLOOKUP(A22,PriceSheet!B:D,3,0)</f>
        <v>2.34</v>
      </c>
      <c r="H22" s="21">
        <f t="shared" si="2"/>
        <v>2.34</v>
      </c>
    </row>
    <row r="23" spans="1:8" x14ac:dyDescent="0.25">
      <c r="A23" s="17" t="s">
        <v>50</v>
      </c>
      <c r="B23" s="62">
        <f>PBandJ</f>
        <v>1</v>
      </c>
      <c r="C23" s="16">
        <f>MealPlannerPrice!E23*B23</f>
        <v>0.05</v>
      </c>
      <c r="D23" s="2">
        <v>5</v>
      </c>
      <c r="E23" s="2">
        <f t="shared" si="0"/>
        <v>0.25</v>
      </c>
      <c r="F23" s="2">
        <f t="shared" si="1"/>
        <v>1</v>
      </c>
      <c r="G23" s="21">
        <f>VLOOKUP(A23,PriceSheet!B:D,3,0)</f>
        <v>2.92</v>
      </c>
      <c r="H23" s="21">
        <f t="shared" si="2"/>
        <v>2.92</v>
      </c>
    </row>
    <row r="24" spans="1:8" x14ac:dyDescent="0.25">
      <c r="A24" s="17" t="s">
        <v>37</v>
      </c>
      <c r="B24" s="62">
        <f>PBandJ</f>
        <v>1</v>
      </c>
      <c r="C24" s="16">
        <f>MealPlannerPrice!E24*B24</f>
        <v>0.125</v>
      </c>
      <c r="D24" s="2">
        <v>5</v>
      </c>
      <c r="E24" s="2">
        <f t="shared" si="0"/>
        <v>0.625</v>
      </c>
      <c r="F24" s="2">
        <f t="shared" si="1"/>
        <v>1</v>
      </c>
      <c r="G24" s="21">
        <f>VLOOKUP(A24,PriceSheet!B:D,3,0)</f>
        <v>2.93</v>
      </c>
      <c r="H24" s="21">
        <f t="shared" si="2"/>
        <v>2.93</v>
      </c>
    </row>
    <row r="25" spans="1:8" x14ac:dyDescent="0.25">
      <c r="A25" s="17" t="s">
        <v>45</v>
      </c>
      <c r="B25" s="62">
        <f t="shared" ref="B25:B31" si="3">TurkeySand</f>
        <v>2</v>
      </c>
      <c r="C25" s="16">
        <f>MealPlannerPrice!E25*B25</f>
        <v>0.33333333333333331</v>
      </c>
      <c r="D25" s="2">
        <v>5</v>
      </c>
      <c r="E25" s="2">
        <f t="shared" si="0"/>
        <v>1.6666666666666665</v>
      </c>
      <c r="F25" s="2">
        <f t="shared" si="1"/>
        <v>2</v>
      </c>
      <c r="G25" s="21">
        <f>VLOOKUP(A25,PriceSheet!B:D,3,0)</f>
        <v>5.98</v>
      </c>
      <c r="H25" s="21">
        <f t="shared" si="2"/>
        <v>11.96</v>
      </c>
    </row>
    <row r="26" spans="1:8" x14ac:dyDescent="0.25">
      <c r="A26" s="17" t="s">
        <v>37</v>
      </c>
      <c r="B26" s="62">
        <f t="shared" si="3"/>
        <v>2</v>
      </c>
      <c r="C26" s="16">
        <f>MealPlannerPrice!E26*B26</f>
        <v>0.25</v>
      </c>
      <c r="D26" s="2">
        <v>5</v>
      </c>
      <c r="E26" s="2">
        <f t="shared" si="0"/>
        <v>1.25</v>
      </c>
      <c r="F26" s="2">
        <f t="shared" si="1"/>
        <v>2</v>
      </c>
      <c r="G26" s="21">
        <f>VLOOKUP(A26,PriceSheet!B:D,3,0)</f>
        <v>2.93</v>
      </c>
      <c r="H26" s="21">
        <f t="shared" si="2"/>
        <v>5.86</v>
      </c>
    </row>
    <row r="27" spans="1:8" x14ac:dyDescent="0.25">
      <c r="A27" s="17" t="s">
        <v>75</v>
      </c>
      <c r="B27" s="62">
        <f t="shared" si="3"/>
        <v>2</v>
      </c>
      <c r="C27" s="16">
        <f>MealPlannerPrice!E27*B27</f>
        <v>0.125</v>
      </c>
      <c r="D27" s="2">
        <v>5</v>
      </c>
      <c r="E27" s="2">
        <f t="shared" si="0"/>
        <v>0.625</v>
      </c>
      <c r="F27" s="2">
        <f t="shared" si="1"/>
        <v>1</v>
      </c>
      <c r="G27" s="21">
        <f>VLOOKUP(A27,PriceSheet!B:D,3,0)</f>
        <v>3.97</v>
      </c>
      <c r="H27" s="21">
        <f t="shared" si="2"/>
        <v>3.97</v>
      </c>
    </row>
    <row r="28" spans="1:8" x14ac:dyDescent="0.25">
      <c r="A28" s="17" t="s">
        <v>106</v>
      </c>
      <c r="B28" s="62">
        <f t="shared" si="3"/>
        <v>2</v>
      </c>
      <c r="C28" s="16">
        <f>MealPlannerPrice!E28*B28</f>
        <v>0.16</v>
      </c>
      <c r="D28" s="2">
        <v>5</v>
      </c>
      <c r="E28" s="2">
        <f t="shared" si="0"/>
        <v>0.8</v>
      </c>
      <c r="F28" s="2">
        <f t="shared" si="1"/>
        <v>1</v>
      </c>
      <c r="G28" s="21">
        <f>VLOOKUP(A28,PriceSheet!B:D,3,0)</f>
        <v>1.48</v>
      </c>
      <c r="H28" s="21">
        <f t="shared" si="2"/>
        <v>1.48</v>
      </c>
    </row>
    <row r="29" spans="1:8" x14ac:dyDescent="0.25">
      <c r="A29" s="17" t="s">
        <v>48</v>
      </c>
      <c r="B29" s="62">
        <f t="shared" si="3"/>
        <v>2</v>
      </c>
      <c r="C29" s="16">
        <f>MealPlannerPrice!E29*B29</f>
        <v>0.5</v>
      </c>
      <c r="D29" s="2">
        <v>5</v>
      </c>
      <c r="E29" s="2">
        <f t="shared" si="0"/>
        <v>2.5</v>
      </c>
      <c r="F29" s="2">
        <f t="shared" si="1"/>
        <v>3</v>
      </c>
      <c r="G29" s="21">
        <f>VLOOKUP(A29,PriceSheet!B:D,3,0)</f>
        <v>0.91</v>
      </c>
      <c r="H29" s="21">
        <f t="shared" si="2"/>
        <v>2.73</v>
      </c>
    </row>
    <row r="30" spans="1:8" x14ac:dyDescent="0.25">
      <c r="A30" s="17" t="s">
        <v>46</v>
      </c>
      <c r="B30" s="62">
        <f t="shared" si="3"/>
        <v>2</v>
      </c>
      <c r="C30" s="16">
        <f>MealPlannerPrice!E30*B30</f>
        <v>6.25E-2</v>
      </c>
      <c r="D30" s="2">
        <v>5</v>
      </c>
      <c r="E30" s="2">
        <f t="shared" si="0"/>
        <v>0.3125</v>
      </c>
      <c r="F30" s="2">
        <f t="shared" si="1"/>
        <v>1</v>
      </c>
      <c r="G30" s="21">
        <f>VLOOKUP(A30,PriceSheet!B:D,3,0)</f>
        <v>2.98</v>
      </c>
      <c r="H30" s="21">
        <f t="shared" si="2"/>
        <v>2.98</v>
      </c>
    </row>
    <row r="31" spans="1:8" x14ac:dyDescent="0.25">
      <c r="A31" s="17" t="s">
        <v>47</v>
      </c>
      <c r="B31" s="62">
        <f t="shared" si="3"/>
        <v>2</v>
      </c>
      <c r="C31" s="16">
        <f>MealPlannerPrice!E31*B31</f>
        <v>6.25E-2</v>
      </c>
      <c r="D31" s="2">
        <v>5</v>
      </c>
      <c r="E31" s="2">
        <f t="shared" si="0"/>
        <v>0.3125</v>
      </c>
      <c r="F31" s="2">
        <f t="shared" si="1"/>
        <v>1</v>
      </c>
      <c r="G31" s="21">
        <f>VLOOKUP(A31,PriceSheet!B:D,3,0)</f>
        <v>1.56</v>
      </c>
      <c r="H31" s="21">
        <f t="shared" si="2"/>
        <v>1.56</v>
      </c>
    </row>
    <row r="32" spans="1:8" x14ac:dyDescent="0.25">
      <c r="A32" s="17" t="s">
        <v>27</v>
      </c>
      <c r="B32" s="62">
        <f>HotDog</f>
        <v>2</v>
      </c>
      <c r="C32" s="16">
        <f>MealPlannerPrice!E32*B32</f>
        <v>0.5</v>
      </c>
      <c r="D32" s="2">
        <v>5</v>
      </c>
      <c r="E32" s="2">
        <f t="shared" si="0"/>
        <v>2.5</v>
      </c>
      <c r="F32" s="2">
        <f t="shared" si="1"/>
        <v>3</v>
      </c>
      <c r="G32" s="21">
        <f>VLOOKUP(A32,PriceSheet!B:D,3,0)</f>
        <v>3.86</v>
      </c>
      <c r="H32" s="21">
        <f t="shared" si="2"/>
        <v>11.58</v>
      </c>
    </row>
    <row r="33" spans="1:8" x14ac:dyDescent="0.25">
      <c r="A33" s="17" t="s">
        <v>44</v>
      </c>
      <c r="B33" s="62">
        <f>HotDog</f>
        <v>2</v>
      </c>
      <c r="C33" s="16">
        <f>MealPlannerPrice!E33*B33</f>
        <v>0.5</v>
      </c>
      <c r="D33" s="2">
        <v>5</v>
      </c>
      <c r="E33" s="2">
        <f t="shared" si="0"/>
        <v>2.5</v>
      </c>
      <c r="F33" s="2">
        <f t="shared" si="1"/>
        <v>3</v>
      </c>
      <c r="G33" s="21">
        <f>VLOOKUP(A33,PriceSheet!B:D,3,0)</f>
        <v>2.2799999999999998</v>
      </c>
      <c r="H33" s="21">
        <f t="shared" si="2"/>
        <v>6.84</v>
      </c>
    </row>
    <row r="34" spans="1:8" x14ac:dyDescent="0.25">
      <c r="A34" s="17" t="s">
        <v>47</v>
      </c>
      <c r="B34" s="62">
        <f>HotDog</f>
        <v>2</v>
      </c>
      <c r="C34" s="16">
        <f>MealPlannerPrice!E34*B34</f>
        <v>6.25E-2</v>
      </c>
      <c r="D34" s="2">
        <v>5</v>
      </c>
      <c r="E34" s="2">
        <f t="shared" ref="E34:E65" si="4">C34*D34</f>
        <v>0.3125</v>
      </c>
      <c r="F34" s="2">
        <f t="shared" ref="F34:F65" si="5">ROUNDUP(E34,0)</f>
        <v>1</v>
      </c>
      <c r="G34" s="21">
        <f>VLOOKUP(A34,PriceSheet!B:D,3,0)</f>
        <v>1.56</v>
      </c>
      <c r="H34" s="21">
        <f t="shared" ref="H34:H65" si="6">F34*G34</f>
        <v>1.56</v>
      </c>
    </row>
    <row r="35" spans="1:8" x14ac:dyDescent="0.25">
      <c r="A35" s="17" t="s">
        <v>103</v>
      </c>
      <c r="B35" s="62">
        <f>Soup</f>
        <v>1</v>
      </c>
      <c r="C35" s="16">
        <f>MealPlannerPrice!E35*B35</f>
        <v>1</v>
      </c>
      <c r="D35" s="2">
        <v>5</v>
      </c>
      <c r="E35" s="2">
        <f t="shared" si="4"/>
        <v>5</v>
      </c>
      <c r="F35" s="2">
        <f t="shared" si="5"/>
        <v>5</v>
      </c>
      <c r="G35" s="21">
        <f>VLOOKUP(A35,PriceSheet!B:D,3,0)</f>
        <v>1.78</v>
      </c>
      <c r="H35" s="21">
        <f t="shared" si="6"/>
        <v>8.9</v>
      </c>
    </row>
    <row r="36" spans="1:8" x14ac:dyDescent="0.25">
      <c r="A36" s="17" t="s">
        <v>104</v>
      </c>
      <c r="B36" s="62">
        <f>Soup</f>
        <v>1</v>
      </c>
      <c r="C36" s="16">
        <f>MealPlannerPrice!E36*B36</f>
        <v>0.05</v>
      </c>
      <c r="D36" s="2">
        <v>5</v>
      </c>
      <c r="E36" s="2">
        <f t="shared" si="4"/>
        <v>0.25</v>
      </c>
      <c r="F36" s="2">
        <f t="shared" si="5"/>
        <v>1</v>
      </c>
      <c r="G36" s="21">
        <f>VLOOKUP(A36,PriceSheet!B:D,3,0)</f>
        <v>2.56</v>
      </c>
      <c r="H36" s="21">
        <f t="shared" si="6"/>
        <v>2.56</v>
      </c>
    </row>
    <row r="37" spans="1:8" x14ac:dyDescent="0.25">
      <c r="A37" s="17" t="s">
        <v>37</v>
      </c>
      <c r="B37" s="62">
        <f>GrillCheese</f>
        <v>3</v>
      </c>
      <c r="C37" s="16">
        <f>MealPlannerPrice!E37*B37</f>
        <v>0.1875</v>
      </c>
      <c r="D37" s="2">
        <v>5</v>
      </c>
      <c r="E37" s="2">
        <f t="shared" si="4"/>
        <v>0.9375</v>
      </c>
      <c r="F37" s="2">
        <f t="shared" si="5"/>
        <v>1</v>
      </c>
      <c r="G37" s="21">
        <f>VLOOKUP(A37,PriceSheet!B:D,3,0)</f>
        <v>2.93</v>
      </c>
      <c r="H37" s="21">
        <f t="shared" si="6"/>
        <v>2.93</v>
      </c>
    </row>
    <row r="38" spans="1:8" x14ac:dyDescent="0.25">
      <c r="A38" s="17" t="s">
        <v>75</v>
      </c>
      <c r="B38" s="62">
        <f>GrillCheese</f>
        <v>3</v>
      </c>
      <c r="C38" s="16">
        <f>MealPlannerPrice!E38*B38</f>
        <v>0.1875</v>
      </c>
      <c r="D38" s="2">
        <v>5</v>
      </c>
      <c r="E38" s="2">
        <f t="shared" si="4"/>
        <v>0.9375</v>
      </c>
      <c r="F38" s="2">
        <f t="shared" si="5"/>
        <v>1</v>
      </c>
      <c r="G38" s="21">
        <f>VLOOKUP(A38,PriceSheet!B:D,3,0)</f>
        <v>3.97</v>
      </c>
      <c r="H38" s="21">
        <f t="shared" si="6"/>
        <v>3.97</v>
      </c>
    </row>
    <row r="39" spans="1:8" x14ac:dyDescent="0.25">
      <c r="A39" s="17" t="s">
        <v>36</v>
      </c>
      <c r="B39" s="62">
        <f>GrillCheese</f>
        <v>3</v>
      </c>
      <c r="C39" s="16">
        <f>MealPlannerPrice!E39*B39</f>
        <v>9.375E-2</v>
      </c>
      <c r="D39" s="2">
        <v>5</v>
      </c>
      <c r="E39" s="2">
        <f t="shared" si="4"/>
        <v>0.46875</v>
      </c>
      <c r="F39" s="2">
        <f t="shared" si="5"/>
        <v>1</v>
      </c>
      <c r="G39" s="21">
        <f>VLOOKUP(A39,PriceSheet!B:D,3,0)</f>
        <v>2.98</v>
      </c>
      <c r="H39" s="21">
        <f t="shared" si="6"/>
        <v>2.98</v>
      </c>
    </row>
    <row r="40" spans="1:8" x14ac:dyDescent="0.25">
      <c r="A40" s="17" t="s">
        <v>118</v>
      </c>
      <c r="B40" s="62">
        <f>BoxMac</f>
        <v>1</v>
      </c>
      <c r="C40" s="16">
        <f>MealPlannerPrice!E40*B40</f>
        <v>0.5</v>
      </c>
      <c r="D40" s="2">
        <v>5</v>
      </c>
      <c r="E40" s="2">
        <f t="shared" si="4"/>
        <v>2.5</v>
      </c>
      <c r="F40" s="2">
        <f t="shared" si="5"/>
        <v>3</v>
      </c>
      <c r="G40" s="21">
        <f>VLOOKUP(A40,PriceSheet!B:D,3,0)</f>
        <v>0.98</v>
      </c>
      <c r="H40" s="21">
        <f t="shared" si="6"/>
        <v>2.94</v>
      </c>
    </row>
    <row r="41" spans="1:8" x14ac:dyDescent="0.25">
      <c r="A41" s="17" t="s">
        <v>79</v>
      </c>
      <c r="B41" s="62">
        <f>BoxMac</f>
        <v>1</v>
      </c>
      <c r="C41" s="16">
        <f>MealPlannerPrice!E41*B41</f>
        <v>1.5625E-2</v>
      </c>
      <c r="D41" s="2">
        <v>5</v>
      </c>
      <c r="E41" s="2">
        <f t="shared" si="4"/>
        <v>7.8125E-2</v>
      </c>
      <c r="F41" s="2">
        <f t="shared" si="5"/>
        <v>1</v>
      </c>
      <c r="G41" s="21">
        <f>VLOOKUP(A41,PriceSheet!B:D,3,0)</f>
        <v>3.07</v>
      </c>
      <c r="H41" s="21">
        <f t="shared" si="6"/>
        <v>3.07</v>
      </c>
    </row>
    <row r="42" spans="1:8" x14ac:dyDescent="0.25">
      <c r="A42" s="17" t="s">
        <v>36</v>
      </c>
      <c r="B42" s="62">
        <f>BoxMac</f>
        <v>1</v>
      </c>
      <c r="C42" s="16">
        <f>MealPlannerPrice!E42*B42</f>
        <v>6.25E-2</v>
      </c>
      <c r="D42" s="2">
        <v>5</v>
      </c>
      <c r="E42" s="2">
        <f t="shared" si="4"/>
        <v>0.3125</v>
      </c>
      <c r="F42" s="2">
        <f t="shared" si="5"/>
        <v>1</v>
      </c>
      <c r="G42" s="21">
        <f>VLOOKUP(A42,PriceSheet!B:D,3,0)</f>
        <v>2.98</v>
      </c>
      <c r="H42" s="21">
        <f t="shared" si="6"/>
        <v>2.98</v>
      </c>
    </row>
    <row r="43" spans="1:8" x14ac:dyDescent="0.25">
      <c r="A43" s="17" t="s">
        <v>41</v>
      </c>
      <c r="B43" s="62">
        <f t="shared" ref="B43:B49" si="7">Burger</f>
        <v>0</v>
      </c>
      <c r="C43" s="16">
        <f>MealPlannerPrice!E43*B43</f>
        <v>0</v>
      </c>
      <c r="D43" s="2">
        <v>5</v>
      </c>
      <c r="E43" s="2">
        <f t="shared" si="4"/>
        <v>0</v>
      </c>
      <c r="F43" s="2">
        <f t="shared" si="5"/>
        <v>0</v>
      </c>
      <c r="G43" s="21">
        <f>VLOOKUP(A43,PriceSheet!B:D,3,0)</f>
        <v>4.29</v>
      </c>
      <c r="H43" s="21">
        <f t="shared" si="6"/>
        <v>0</v>
      </c>
    </row>
    <row r="44" spans="1:8" x14ac:dyDescent="0.25">
      <c r="A44" s="17" t="s">
        <v>75</v>
      </c>
      <c r="B44" s="62">
        <f t="shared" si="7"/>
        <v>0</v>
      </c>
      <c r="C44" s="16">
        <f>MealPlannerPrice!E44*B44</f>
        <v>0</v>
      </c>
      <c r="D44" s="2">
        <v>5</v>
      </c>
      <c r="E44" s="2">
        <f t="shared" si="4"/>
        <v>0</v>
      </c>
      <c r="F44" s="2">
        <f t="shared" si="5"/>
        <v>0</v>
      </c>
      <c r="G44" s="21">
        <f>VLOOKUP(A44,PriceSheet!B:D,3,0)</f>
        <v>3.97</v>
      </c>
      <c r="H44" s="21">
        <f t="shared" si="6"/>
        <v>0</v>
      </c>
    </row>
    <row r="45" spans="1:8" x14ac:dyDescent="0.25">
      <c r="A45" s="17" t="s">
        <v>76</v>
      </c>
      <c r="B45" s="62">
        <f t="shared" si="7"/>
        <v>0</v>
      </c>
      <c r="C45" s="16">
        <f>MealPlannerPrice!E45*B45</f>
        <v>0</v>
      </c>
      <c r="D45" s="2">
        <v>5</v>
      </c>
      <c r="E45" s="2">
        <f t="shared" si="4"/>
        <v>0</v>
      </c>
      <c r="F45" s="2">
        <f t="shared" si="5"/>
        <v>0</v>
      </c>
      <c r="G45" s="21">
        <f>VLOOKUP(A45,PriceSheet!B:D,3,0)</f>
        <v>2.2799999999999998</v>
      </c>
      <c r="H45" s="21">
        <f t="shared" si="6"/>
        <v>0</v>
      </c>
    </row>
    <row r="46" spans="1:8" x14ac:dyDescent="0.25">
      <c r="A46" s="17" t="s">
        <v>106</v>
      </c>
      <c r="B46" s="62">
        <f t="shared" si="7"/>
        <v>0</v>
      </c>
      <c r="C46" s="16">
        <f>MealPlannerPrice!E46*B46</f>
        <v>0</v>
      </c>
      <c r="D46" s="2">
        <v>5</v>
      </c>
      <c r="E46" s="2">
        <f t="shared" si="4"/>
        <v>0</v>
      </c>
      <c r="F46" s="2">
        <f t="shared" si="5"/>
        <v>0</v>
      </c>
      <c r="G46" s="21">
        <f>VLOOKUP(A46,PriceSheet!B:D,3,0)</f>
        <v>1.48</v>
      </c>
      <c r="H46" s="21">
        <f t="shared" si="6"/>
        <v>0</v>
      </c>
    </row>
    <row r="47" spans="1:8" x14ac:dyDescent="0.25">
      <c r="A47" s="17" t="s">
        <v>48</v>
      </c>
      <c r="B47" s="62">
        <f t="shared" si="7"/>
        <v>0</v>
      </c>
      <c r="C47" s="16">
        <f>MealPlannerPrice!E47*B47</f>
        <v>0</v>
      </c>
      <c r="D47" s="2">
        <v>5</v>
      </c>
      <c r="E47" s="2">
        <f t="shared" si="4"/>
        <v>0</v>
      </c>
      <c r="F47" s="2">
        <f t="shared" si="5"/>
        <v>0</v>
      </c>
      <c r="G47" s="21">
        <f>VLOOKUP(A47,PriceSheet!B:D,3,0)</f>
        <v>0.91</v>
      </c>
      <c r="H47" s="21">
        <f t="shared" si="6"/>
        <v>0</v>
      </c>
    </row>
    <row r="48" spans="1:8" x14ac:dyDescent="0.25">
      <c r="A48" s="17" t="s">
        <v>46</v>
      </c>
      <c r="B48" s="62">
        <f t="shared" si="7"/>
        <v>0</v>
      </c>
      <c r="C48" s="16">
        <f>MealPlannerPrice!E48*B48</f>
        <v>0</v>
      </c>
      <c r="D48" s="2">
        <v>5</v>
      </c>
      <c r="E48" s="2">
        <f t="shared" si="4"/>
        <v>0</v>
      </c>
      <c r="F48" s="2">
        <f t="shared" si="5"/>
        <v>0</v>
      </c>
      <c r="G48" s="21">
        <f>VLOOKUP(A48,PriceSheet!B:D,3,0)</f>
        <v>2.98</v>
      </c>
      <c r="H48" s="21">
        <f t="shared" si="6"/>
        <v>0</v>
      </c>
    </row>
    <row r="49" spans="1:8" x14ac:dyDescent="0.25">
      <c r="A49" s="17" t="s">
        <v>77</v>
      </c>
      <c r="B49" s="62">
        <f t="shared" si="7"/>
        <v>0</v>
      </c>
      <c r="C49" s="16">
        <f>MealPlannerPrice!E49*B49</f>
        <v>0</v>
      </c>
      <c r="D49" s="2">
        <v>5</v>
      </c>
      <c r="E49" s="2">
        <f t="shared" si="4"/>
        <v>0</v>
      </c>
      <c r="F49" s="2">
        <f t="shared" si="5"/>
        <v>0</v>
      </c>
      <c r="G49" s="21">
        <f>VLOOKUP(A49,PriceSheet!B:D,3,0)</f>
        <v>2.88</v>
      </c>
      <c r="H49" s="21">
        <f t="shared" si="6"/>
        <v>0</v>
      </c>
    </row>
    <row r="50" spans="1:8" x14ac:dyDescent="0.25">
      <c r="A50" s="2" t="s">
        <v>29</v>
      </c>
      <c r="B50" s="62">
        <f>Pizza</f>
        <v>1</v>
      </c>
      <c r="C50" s="16">
        <f>MealPlannerPrice!E50*B50</f>
        <v>0.33</v>
      </c>
      <c r="D50" s="2">
        <v>5</v>
      </c>
      <c r="E50" s="2">
        <f t="shared" si="4"/>
        <v>1.6500000000000001</v>
      </c>
      <c r="F50" s="2">
        <f t="shared" si="5"/>
        <v>2</v>
      </c>
      <c r="G50" s="21">
        <f>VLOOKUP(A50,PriceSheet!B:D,3,0)</f>
        <v>4.88</v>
      </c>
      <c r="H50" s="21">
        <f t="shared" si="6"/>
        <v>9.76</v>
      </c>
    </row>
    <row r="51" spans="1:8" x14ac:dyDescent="0.25">
      <c r="A51" s="17" t="s">
        <v>42</v>
      </c>
      <c r="B51" s="62">
        <f>PestoTort</f>
        <v>1</v>
      </c>
      <c r="C51" s="16">
        <f>MealPlannerPrice!E51*B51</f>
        <v>0.4</v>
      </c>
      <c r="D51" s="2">
        <v>5</v>
      </c>
      <c r="E51" s="2">
        <f t="shared" si="4"/>
        <v>2</v>
      </c>
      <c r="F51" s="2">
        <f t="shared" si="5"/>
        <v>2</v>
      </c>
      <c r="G51" s="21">
        <f>VLOOKUP(A51,PriceSheet!B:D,3,0)</f>
        <v>4.93</v>
      </c>
      <c r="H51" s="21">
        <f t="shared" si="6"/>
        <v>9.86</v>
      </c>
    </row>
    <row r="52" spans="1:8" x14ac:dyDescent="0.25">
      <c r="A52" s="17" t="s">
        <v>43</v>
      </c>
      <c r="B52" s="62">
        <f>PestoTort</f>
        <v>1</v>
      </c>
      <c r="C52" s="16">
        <f>MealPlannerPrice!E52*B52</f>
        <v>0.2</v>
      </c>
      <c r="D52" s="2">
        <v>5</v>
      </c>
      <c r="E52" s="2">
        <f t="shared" si="4"/>
        <v>1</v>
      </c>
      <c r="F52" s="2">
        <f t="shared" si="5"/>
        <v>1</v>
      </c>
      <c r="G52" s="21">
        <f>VLOOKUP(A52,PriceSheet!B:D,3,0)</f>
        <v>2.88</v>
      </c>
      <c r="H52" s="21">
        <f t="shared" si="6"/>
        <v>2.88</v>
      </c>
    </row>
    <row r="53" spans="1:8" x14ac:dyDescent="0.25">
      <c r="A53" s="17" t="s">
        <v>119</v>
      </c>
      <c r="B53" s="62">
        <f>PestoTort</f>
        <v>1</v>
      </c>
      <c r="C53" s="16">
        <f>MealPlannerPrice!E53*B53</f>
        <v>3.125E-2</v>
      </c>
      <c r="D53" s="2">
        <v>5</v>
      </c>
      <c r="E53" s="2">
        <f t="shared" si="4"/>
        <v>0.15625</v>
      </c>
      <c r="F53" s="2">
        <f t="shared" si="5"/>
        <v>1</v>
      </c>
      <c r="G53" s="21">
        <f>VLOOKUP(A53,PriceSheet!B:D,3,0)</f>
        <v>2.67</v>
      </c>
      <c r="H53" s="21">
        <f t="shared" si="6"/>
        <v>2.67</v>
      </c>
    </row>
    <row r="54" spans="1:8" x14ac:dyDescent="0.25">
      <c r="A54" s="17" t="s">
        <v>99</v>
      </c>
      <c r="B54" s="62">
        <f t="shared" ref="B54:B59" si="8">ChicTaco</f>
        <v>1</v>
      </c>
      <c r="C54" s="16">
        <f>MealPlannerPrice!E54*B54</f>
        <v>0.125</v>
      </c>
      <c r="D54" s="2">
        <v>5</v>
      </c>
      <c r="E54" s="2">
        <f t="shared" si="4"/>
        <v>0.625</v>
      </c>
      <c r="F54" s="2">
        <f t="shared" si="5"/>
        <v>1</v>
      </c>
      <c r="G54" s="21">
        <f>VLOOKUP(A54,PriceSheet!B:D,3,0)</f>
        <v>5.44</v>
      </c>
      <c r="H54" s="21">
        <f t="shared" si="6"/>
        <v>5.44</v>
      </c>
    </row>
    <row r="55" spans="1:8" x14ac:dyDescent="0.25">
      <c r="A55" s="17" t="s">
        <v>83</v>
      </c>
      <c r="B55" s="62">
        <f t="shared" si="8"/>
        <v>1</v>
      </c>
      <c r="C55" s="16">
        <f>MealPlannerPrice!E55*B55</f>
        <v>0.125</v>
      </c>
      <c r="D55" s="2">
        <v>5</v>
      </c>
      <c r="E55" s="2">
        <f t="shared" si="4"/>
        <v>0.625</v>
      </c>
      <c r="F55" s="2">
        <f t="shared" si="5"/>
        <v>1</v>
      </c>
      <c r="G55" s="21">
        <f>VLOOKUP(A55,PriceSheet!B:D,3,0)</f>
        <v>2.2799999999999998</v>
      </c>
      <c r="H55" s="21">
        <f t="shared" si="6"/>
        <v>2.2799999999999998</v>
      </c>
    </row>
    <row r="56" spans="1:8" x14ac:dyDescent="0.25">
      <c r="A56" s="17" t="s">
        <v>48</v>
      </c>
      <c r="B56" s="62">
        <f t="shared" si="8"/>
        <v>1</v>
      </c>
      <c r="C56" s="16">
        <f>MealPlannerPrice!E56*B56</f>
        <v>0.25</v>
      </c>
      <c r="D56" s="2">
        <v>5</v>
      </c>
      <c r="E56" s="2">
        <f t="shared" si="4"/>
        <v>1.25</v>
      </c>
      <c r="F56" s="2">
        <f t="shared" si="5"/>
        <v>2</v>
      </c>
      <c r="G56" s="21">
        <f>VLOOKUP(A56,PriceSheet!B:D,3,0)</f>
        <v>0.91</v>
      </c>
      <c r="H56" s="21">
        <f t="shared" si="6"/>
        <v>1.82</v>
      </c>
    </row>
    <row r="57" spans="1:8" x14ac:dyDescent="0.25">
      <c r="A57" s="17" t="s">
        <v>106</v>
      </c>
      <c r="B57" s="62">
        <f t="shared" si="8"/>
        <v>1</v>
      </c>
      <c r="C57" s="16">
        <f>MealPlannerPrice!E57*B57</f>
        <v>0.08</v>
      </c>
      <c r="D57" s="2">
        <v>5</v>
      </c>
      <c r="E57" s="2">
        <f t="shared" si="4"/>
        <v>0.4</v>
      </c>
      <c r="F57" s="2">
        <f t="shared" si="5"/>
        <v>1</v>
      </c>
      <c r="G57" s="21">
        <f>VLOOKUP(A57,PriceSheet!B:D,3,0)</f>
        <v>1.48</v>
      </c>
      <c r="H57" s="21">
        <f t="shared" si="6"/>
        <v>1.48</v>
      </c>
    </row>
    <row r="58" spans="1:8" x14ac:dyDescent="0.25">
      <c r="A58" s="17" t="s">
        <v>57</v>
      </c>
      <c r="B58" s="62">
        <f t="shared" si="8"/>
        <v>1</v>
      </c>
      <c r="C58" s="16">
        <f>MealPlannerPrice!E58*B58</f>
        <v>0.05</v>
      </c>
      <c r="D58" s="2">
        <v>5</v>
      </c>
      <c r="E58" s="2">
        <f t="shared" si="4"/>
        <v>0.25</v>
      </c>
      <c r="F58" s="2">
        <f t="shared" si="5"/>
        <v>1</v>
      </c>
      <c r="G58" s="21">
        <f>VLOOKUP(A58,PriceSheet!B:D,3,0)</f>
        <v>1.98</v>
      </c>
      <c r="H58" s="21">
        <f t="shared" si="6"/>
        <v>1.98</v>
      </c>
    </row>
    <row r="59" spans="1:8" x14ac:dyDescent="0.25">
      <c r="A59" s="17" t="s">
        <v>84</v>
      </c>
      <c r="B59" s="62">
        <f t="shared" si="8"/>
        <v>1</v>
      </c>
      <c r="C59" s="16">
        <f>MealPlannerPrice!E59*B59</f>
        <v>3.125E-2</v>
      </c>
      <c r="D59" s="2">
        <v>5</v>
      </c>
      <c r="E59" s="2">
        <f t="shared" si="4"/>
        <v>0.15625</v>
      </c>
      <c r="F59" s="2">
        <f t="shared" si="5"/>
        <v>1</v>
      </c>
      <c r="G59" s="21">
        <f>VLOOKUP(A59,PriceSheet!B:D,3,0)</f>
        <v>1.98</v>
      </c>
      <c r="H59" s="21">
        <f t="shared" si="6"/>
        <v>1.98</v>
      </c>
    </row>
    <row r="60" spans="1:8" x14ac:dyDescent="0.25">
      <c r="A60" s="17" t="s">
        <v>41</v>
      </c>
      <c r="B60" s="62">
        <f t="shared" ref="B60:B65" si="9">BeefTaco</f>
        <v>1</v>
      </c>
      <c r="C60" s="16">
        <f>MealPlannerPrice!E60*B60</f>
        <v>0.125</v>
      </c>
      <c r="D60" s="2">
        <v>5</v>
      </c>
      <c r="E60" s="2">
        <f t="shared" si="4"/>
        <v>0.625</v>
      </c>
      <c r="F60" s="2">
        <f t="shared" si="5"/>
        <v>1</v>
      </c>
      <c r="G60" s="21">
        <f>VLOOKUP(A60,PriceSheet!B:D,3,0)</f>
        <v>4.29</v>
      </c>
      <c r="H60" s="21">
        <f t="shared" si="6"/>
        <v>4.29</v>
      </c>
    </row>
    <row r="61" spans="1:8" x14ac:dyDescent="0.25">
      <c r="A61" s="17" t="s">
        <v>83</v>
      </c>
      <c r="B61" s="62">
        <f t="shared" si="9"/>
        <v>1</v>
      </c>
      <c r="C61" s="16">
        <f>MealPlannerPrice!E61*B61</f>
        <v>0.125</v>
      </c>
      <c r="D61" s="2">
        <v>5</v>
      </c>
      <c r="E61" s="2">
        <f t="shared" si="4"/>
        <v>0.625</v>
      </c>
      <c r="F61" s="2">
        <f t="shared" si="5"/>
        <v>1</v>
      </c>
      <c r="G61" s="21">
        <f>VLOOKUP(A61,PriceSheet!B:D,3,0)</f>
        <v>2.2799999999999998</v>
      </c>
      <c r="H61" s="21">
        <f t="shared" si="6"/>
        <v>2.2799999999999998</v>
      </c>
    </row>
    <row r="62" spans="1:8" x14ac:dyDescent="0.25">
      <c r="A62" s="17" t="s">
        <v>48</v>
      </c>
      <c r="B62" s="62">
        <f t="shared" si="9"/>
        <v>1</v>
      </c>
      <c r="C62" s="16">
        <f>MealPlannerPrice!E62*B62</f>
        <v>0.25</v>
      </c>
      <c r="D62" s="2">
        <v>5</v>
      </c>
      <c r="E62" s="2">
        <f t="shared" si="4"/>
        <v>1.25</v>
      </c>
      <c r="F62" s="2">
        <f t="shared" si="5"/>
        <v>2</v>
      </c>
      <c r="G62" s="21">
        <f>VLOOKUP(A62,PriceSheet!B:D,3,0)</f>
        <v>0.91</v>
      </c>
      <c r="H62" s="21">
        <f t="shared" si="6"/>
        <v>1.82</v>
      </c>
    </row>
    <row r="63" spans="1:8" x14ac:dyDescent="0.25">
      <c r="A63" s="17" t="s">
        <v>106</v>
      </c>
      <c r="B63" s="62">
        <f t="shared" si="9"/>
        <v>1</v>
      </c>
      <c r="C63" s="16">
        <f>MealPlannerPrice!E63*B63</f>
        <v>0.08</v>
      </c>
      <c r="D63" s="2">
        <v>5</v>
      </c>
      <c r="E63" s="2">
        <f t="shared" si="4"/>
        <v>0.4</v>
      </c>
      <c r="F63" s="2">
        <f t="shared" si="5"/>
        <v>1</v>
      </c>
      <c r="G63" s="21">
        <f>VLOOKUP(A63,PriceSheet!B:D,3,0)</f>
        <v>1.48</v>
      </c>
      <c r="H63" s="21">
        <f t="shared" si="6"/>
        <v>1.48</v>
      </c>
    </row>
    <row r="64" spans="1:8" x14ac:dyDescent="0.25">
      <c r="A64" s="17" t="s">
        <v>57</v>
      </c>
      <c r="B64" s="62">
        <f t="shared" si="9"/>
        <v>1</v>
      </c>
      <c r="C64" s="16">
        <f>MealPlannerPrice!E64*B64</f>
        <v>0.05</v>
      </c>
      <c r="D64" s="2">
        <v>5</v>
      </c>
      <c r="E64" s="2">
        <f t="shared" si="4"/>
        <v>0.25</v>
      </c>
      <c r="F64" s="2">
        <f t="shared" si="5"/>
        <v>1</v>
      </c>
      <c r="G64" s="21">
        <f>VLOOKUP(A64,PriceSheet!B:D,3,0)</f>
        <v>1.98</v>
      </c>
      <c r="H64" s="21">
        <f t="shared" si="6"/>
        <v>1.98</v>
      </c>
    </row>
    <row r="65" spans="1:8" x14ac:dyDescent="0.25">
      <c r="A65" s="17" t="s">
        <v>84</v>
      </c>
      <c r="B65" s="62">
        <f t="shared" si="9"/>
        <v>1</v>
      </c>
      <c r="C65" s="16">
        <f>MealPlannerPrice!E65*B65</f>
        <v>3.125E-2</v>
      </c>
      <c r="D65" s="2">
        <v>5</v>
      </c>
      <c r="E65" s="2">
        <f t="shared" si="4"/>
        <v>0.15625</v>
      </c>
      <c r="F65" s="2">
        <f t="shared" si="5"/>
        <v>1</v>
      </c>
      <c r="G65" s="21">
        <f>VLOOKUP(A65,PriceSheet!B:D,3,0)</f>
        <v>1.98</v>
      </c>
      <c r="H65" s="21">
        <f t="shared" si="6"/>
        <v>1.98</v>
      </c>
    </row>
    <row r="66" spans="1:8" x14ac:dyDescent="0.25">
      <c r="A66" s="17" t="s">
        <v>110</v>
      </c>
      <c r="B66" s="62">
        <f>SpagandMeatSauce</f>
        <v>0</v>
      </c>
      <c r="C66" s="16">
        <f>MealPlannerPrice!E66*B66</f>
        <v>0</v>
      </c>
      <c r="D66" s="2">
        <v>5</v>
      </c>
      <c r="E66" s="2">
        <f t="shared" ref="E66:E97" si="10">C66*D66</f>
        <v>0</v>
      </c>
      <c r="F66" s="2">
        <f t="shared" ref="F66:F97" si="11">ROUNDUP(E66,0)</f>
        <v>0</v>
      </c>
      <c r="G66" s="21">
        <f>VLOOKUP(A66,PriceSheet!B:D,3,0)</f>
        <v>0.98</v>
      </c>
      <c r="H66" s="21">
        <f t="shared" ref="H66:H97" si="12">F66*G66</f>
        <v>0</v>
      </c>
    </row>
    <row r="67" spans="1:8" x14ac:dyDescent="0.25">
      <c r="A67" s="17" t="s">
        <v>41</v>
      </c>
      <c r="B67" s="62">
        <f>SpagandMeatSauce</f>
        <v>0</v>
      </c>
      <c r="C67" s="16">
        <f>MealPlannerPrice!E67*B67</f>
        <v>0</v>
      </c>
      <c r="D67" s="2">
        <v>5</v>
      </c>
      <c r="E67" s="2">
        <f t="shared" si="10"/>
        <v>0</v>
      </c>
      <c r="F67" s="2">
        <f t="shared" si="11"/>
        <v>0</v>
      </c>
      <c r="G67" s="21">
        <f>VLOOKUP(A67,PriceSheet!B:D,3,0)</f>
        <v>4.29</v>
      </c>
      <c r="H67" s="21">
        <f t="shared" si="12"/>
        <v>0</v>
      </c>
    </row>
    <row r="68" spans="1:8" x14ac:dyDescent="0.25">
      <c r="A68" s="17" t="s">
        <v>72</v>
      </c>
      <c r="B68" s="62">
        <f>SpagandMeatSauce</f>
        <v>0</v>
      </c>
      <c r="C68" s="16">
        <f>MealPlannerPrice!E68*B68</f>
        <v>0</v>
      </c>
      <c r="D68" s="2">
        <v>5</v>
      </c>
      <c r="E68" s="2">
        <f t="shared" si="10"/>
        <v>0</v>
      </c>
      <c r="F68" s="2">
        <f t="shared" si="11"/>
        <v>0</v>
      </c>
      <c r="G68" s="21">
        <f>VLOOKUP(A68,PriceSheet!B:D,3,0)</f>
        <v>1.88</v>
      </c>
      <c r="H68" s="21">
        <f t="shared" si="12"/>
        <v>0</v>
      </c>
    </row>
    <row r="69" spans="1:8" x14ac:dyDescent="0.25">
      <c r="A69" s="17" t="s">
        <v>119</v>
      </c>
      <c r="B69" s="62">
        <f>SpagandMeatSauce</f>
        <v>0</v>
      </c>
      <c r="C69" s="16">
        <f>MealPlannerPrice!E69*B69</f>
        <v>0</v>
      </c>
      <c r="D69" s="2">
        <v>5</v>
      </c>
      <c r="E69" s="2">
        <f t="shared" si="10"/>
        <v>0</v>
      </c>
      <c r="F69" s="2">
        <f t="shared" si="11"/>
        <v>0</v>
      </c>
      <c r="G69" s="21">
        <f>VLOOKUP(A69,PriceSheet!B:D,3,0)</f>
        <v>2.67</v>
      </c>
      <c r="H69" s="21">
        <f t="shared" si="12"/>
        <v>0</v>
      </c>
    </row>
    <row r="70" spans="1:8" x14ac:dyDescent="0.25">
      <c r="A70" s="17" t="s">
        <v>161</v>
      </c>
      <c r="B70" s="62">
        <f>FetAlfredo</f>
        <v>0</v>
      </c>
      <c r="C70" s="16">
        <f>MealPlannerPrice!E70*B70</f>
        <v>0</v>
      </c>
      <c r="D70" s="2">
        <v>5</v>
      </c>
      <c r="E70" s="2">
        <f t="shared" si="10"/>
        <v>0</v>
      </c>
      <c r="F70" s="2">
        <f t="shared" si="11"/>
        <v>0</v>
      </c>
      <c r="G70" s="21">
        <f>VLOOKUP(A70,PriceSheet!B:D,3,0)</f>
        <v>1.34</v>
      </c>
      <c r="H70" s="21">
        <f t="shared" si="12"/>
        <v>0</v>
      </c>
    </row>
    <row r="71" spans="1:8" x14ac:dyDescent="0.25">
      <c r="A71" s="17" t="s">
        <v>40</v>
      </c>
      <c r="B71" s="62">
        <f>FetAlfredo</f>
        <v>0</v>
      </c>
      <c r="C71" s="16">
        <f>MealPlannerPrice!E71*B71</f>
        <v>0</v>
      </c>
      <c r="D71" s="2">
        <v>5</v>
      </c>
      <c r="E71" s="2">
        <f t="shared" si="10"/>
        <v>0</v>
      </c>
      <c r="F71" s="2">
        <f t="shared" si="11"/>
        <v>0</v>
      </c>
      <c r="G71" s="21">
        <f>VLOOKUP(A71,PriceSheet!B:D,3,0)</f>
        <v>2.68</v>
      </c>
      <c r="H71" s="21">
        <f t="shared" si="12"/>
        <v>0</v>
      </c>
    </row>
    <row r="72" spans="1:8" x14ac:dyDescent="0.25">
      <c r="A72" s="2" t="s">
        <v>10</v>
      </c>
      <c r="B72" s="62">
        <f>Salmon</f>
        <v>0</v>
      </c>
      <c r="C72" s="16">
        <f>MealPlannerPrice!E72*B72</f>
        <v>0</v>
      </c>
      <c r="D72" s="2">
        <v>5</v>
      </c>
      <c r="E72" s="2">
        <f t="shared" si="10"/>
        <v>0</v>
      </c>
      <c r="F72" s="2">
        <f t="shared" si="11"/>
        <v>0</v>
      </c>
      <c r="G72" s="21">
        <f>VLOOKUP(A72,PriceSheet!B:D,3,0)</f>
        <v>8.85</v>
      </c>
      <c r="H72" s="21">
        <f t="shared" si="12"/>
        <v>0</v>
      </c>
    </row>
    <row r="73" spans="1:8" x14ac:dyDescent="0.25">
      <c r="A73" s="2" t="s">
        <v>14</v>
      </c>
      <c r="B73" s="62">
        <f>Cod</f>
        <v>0</v>
      </c>
      <c r="C73" s="16">
        <f>MealPlannerPrice!E73*B73</f>
        <v>0</v>
      </c>
      <c r="D73" s="2">
        <v>5</v>
      </c>
      <c r="E73" s="2">
        <f t="shared" si="10"/>
        <v>0</v>
      </c>
      <c r="F73" s="2">
        <f t="shared" si="11"/>
        <v>0</v>
      </c>
      <c r="G73" s="21">
        <f>VLOOKUP(A73,PriceSheet!B:D,3,0)</f>
        <v>5.99</v>
      </c>
      <c r="H73" s="21">
        <f t="shared" si="12"/>
        <v>0</v>
      </c>
    </row>
    <row r="74" spans="1:8" x14ac:dyDescent="0.25">
      <c r="A74" s="2" t="s">
        <v>41</v>
      </c>
      <c r="B74" s="62">
        <f>GroundBeef</f>
        <v>1</v>
      </c>
      <c r="C74" s="16">
        <f>MealPlannerPrice!E74*B74</f>
        <v>1</v>
      </c>
      <c r="D74" s="2">
        <v>5</v>
      </c>
      <c r="E74" s="2">
        <f t="shared" si="10"/>
        <v>5</v>
      </c>
      <c r="F74" s="2">
        <f t="shared" si="11"/>
        <v>5</v>
      </c>
      <c r="G74" s="21">
        <f>VLOOKUP(A74,PriceSheet!B:D,3,0)</f>
        <v>4.29</v>
      </c>
      <c r="H74" s="21">
        <f t="shared" si="12"/>
        <v>21.45</v>
      </c>
    </row>
    <row r="75" spans="1:8" x14ac:dyDescent="0.25">
      <c r="A75" s="2" t="s">
        <v>5</v>
      </c>
      <c r="B75" s="62">
        <f>NYStrip</f>
        <v>0</v>
      </c>
      <c r="C75" s="16">
        <f>MealPlannerPrice!E75*B75</f>
        <v>0</v>
      </c>
      <c r="D75" s="2">
        <v>5</v>
      </c>
      <c r="E75" s="2">
        <f t="shared" si="10"/>
        <v>0</v>
      </c>
      <c r="F75" s="2">
        <f t="shared" si="11"/>
        <v>0</v>
      </c>
      <c r="G75" s="21">
        <f>VLOOKUP(A75,PriceSheet!B:D,3,0)</f>
        <v>11.47</v>
      </c>
      <c r="H75" s="21">
        <f t="shared" si="12"/>
        <v>0</v>
      </c>
    </row>
    <row r="76" spans="1:8" x14ac:dyDescent="0.25">
      <c r="A76" s="2" t="s">
        <v>73</v>
      </c>
      <c r="B76" s="62">
        <f>Shrimp</f>
        <v>1</v>
      </c>
      <c r="C76" s="16">
        <f>MealPlannerPrice!E76*B76</f>
        <v>1</v>
      </c>
      <c r="D76" s="2">
        <v>5</v>
      </c>
      <c r="E76" s="2">
        <f t="shared" si="10"/>
        <v>5</v>
      </c>
      <c r="F76" s="2">
        <f t="shared" si="11"/>
        <v>5</v>
      </c>
      <c r="G76" s="21">
        <f>VLOOKUP(A76,PriceSheet!B:D,3,0)</f>
        <v>5.66</v>
      </c>
      <c r="H76" s="21">
        <f t="shared" si="12"/>
        <v>28.3</v>
      </c>
    </row>
    <row r="77" spans="1:8" x14ac:dyDescent="0.25">
      <c r="A77" s="2" t="s">
        <v>74</v>
      </c>
      <c r="B77" s="62">
        <f>PorkChop</f>
        <v>0</v>
      </c>
      <c r="C77" s="16">
        <f>MealPlannerPrice!E77*B77</f>
        <v>0</v>
      </c>
      <c r="D77" s="2">
        <v>5</v>
      </c>
      <c r="E77" s="2">
        <f t="shared" si="10"/>
        <v>0</v>
      </c>
      <c r="F77" s="2">
        <f t="shared" si="11"/>
        <v>0</v>
      </c>
      <c r="G77" s="21">
        <f>VLOOKUP(A77,PriceSheet!B:D,3,0)</f>
        <v>4.78</v>
      </c>
      <c r="H77" s="21">
        <f t="shared" si="12"/>
        <v>0</v>
      </c>
    </row>
    <row r="78" spans="1:8" x14ac:dyDescent="0.25">
      <c r="A78" s="2" t="s">
        <v>39</v>
      </c>
      <c r="B78" s="62">
        <f>Chicken</f>
        <v>0</v>
      </c>
      <c r="C78" s="16">
        <f>MealPlannerPrice!E78*B78</f>
        <v>0</v>
      </c>
      <c r="D78" s="2">
        <v>5</v>
      </c>
      <c r="E78" s="2">
        <f t="shared" si="10"/>
        <v>0</v>
      </c>
      <c r="F78" s="2">
        <f t="shared" si="11"/>
        <v>0</v>
      </c>
      <c r="G78" s="21">
        <f>VLOOKUP(A78,PriceSheet!B:D,3,0)</f>
        <v>6.94</v>
      </c>
      <c r="H78" s="21">
        <f t="shared" si="12"/>
        <v>0</v>
      </c>
    </row>
    <row r="79" spans="1:8" x14ac:dyDescent="0.25">
      <c r="A79" s="2" t="s">
        <v>9</v>
      </c>
      <c r="B79" s="62">
        <f>Ribeye</f>
        <v>0</v>
      </c>
      <c r="C79" s="16">
        <f>MealPlannerPrice!E79*B79</f>
        <v>0</v>
      </c>
      <c r="D79" s="2">
        <v>5</v>
      </c>
      <c r="E79" s="2">
        <f t="shared" si="10"/>
        <v>0</v>
      </c>
      <c r="F79" s="2">
        <f t="shared" si="11"/>
        <v>0</v>
      </c>
      <c r="G79" s="21">
        <f>VLOOKUP(A79,PriceSheet!B:D,3,0)</f>
        <v>11.97</v>
      </c>
      <c r="H79" s="21">
        <f t="shared" si="12"/>
        <v>0</v>
      </c>
    </row>
    <row r="80" spans="1:8" x14ac:dyDescent="0.25">
      <c r="A80" s="17" t="s">
        <v>106</v>
      </c>
      <c r="B80" s="62">
        <f>HouseSalad</f>
        <v>2</v>
      </c>
      <c r="C80" s="16">
        <f>MealPlannerPrice!E80*B80</f>
        <v>0.8</v>
      </c>
      <c r="D80" s="2">
        <v>5</v>
      </c>
      <c r="E80" s="2">
        <f t="shared" si="10"/>
        <v>4</v>
      </c>
      <c r="F80" s="2">
        <f t="shared" si="11"/>
        <v>4</v>
      </c>
      <c r="G80" s="21">
        <f>VLOOKUP(A80,PriceSheet!B:D,3,0)</f>
        <v>1.48</v>
      </c>
      <c r="H80" s="21">
        <f t="shared" si="12"/>
        <v>5.92</v>
      </c>
    </row>
    <row r="81" spans="1:8" x14ac:dyDescent="0.25">
      <c r="A81" s="17" t="s">
        <v>48</v>
      </c>
      <c r="B81" s="62">
        <f>HouseSalad</f>
        <v>2</v>
      </c>
      <c r="C81" s="16">
        <f>MealPlannerPrice!E81*B81</f>
        <v>0.5</v>
      </c>
      <c r="D81" s="2">
        <v>5</v>
      </c>
      <c r="E81" s="2">
        <f t="shared" si="10"/>
        <v>2.5</v>
      </c>
      <c r="F81" s="2">
        <f t="shared" si="11"/>
        <v>3</v>
      </c>
      <c r="G81" s="21">
        <f>VLOOKUP(A81,PriceSheet!B:D,3,0)</f>
        <v>0.91</v>
      </c>
      <c r="H81" s="21">
        <f t="shared" si="12"/>
        <v>2.73</v>
      </c>
    </row>
    <row r="82" spans="1:8" x14ac:dyDescent="0.25">
      <c r="A82" s="17" t="s">
        <v>146</v>
      </c>
      <c r="B82" s="62">
        <f>HouseSalad</f>
        <v>2</v>
      </c>
      <c r="C82" s="16">
        <f>MealPlannerPrice!E82*B82</f>
        <v>0.1</v>
      </c>
      <c r="D82" s="2">
        <v>5</v>
      </c>
      <c r="E82" s="2">
        <f t="shared" si="10"/>
        <v>0.5</v>
      </c>
      <c r="F82" s="2">
        <f t="shared" si="11"/>
        <v>1</v>
      </c>
      <c r="G82" s="21">
        <f>VLOOKUP(A82,PriceSheet!B:D,3,0)</f>
        <v>1.98</v>
      </c>
      <c r="H82" s="21">
        <f t="shared" si="12"/>
        <v>1.98</v>
      </c>
    </row>
    <row r="83" spans="1:8" x14ac:dyDescent="0.25">
      <c r="A83" s="17" t="s">
        <v>60</v>
      </c>
      <c r="B83" s="62">
        <f>HouseSalad</f>
        <v>2</v>
      </c>
      <c r="C83" s="16">
        <f>MealPlannerPrice!E83*B83</f>
        <v>0.2</v>
      </c>
      <c r="D83" s="2">
        <v>5</v>
      </c>
      <c r="E83" s="2">
        <f t="shared" si="10"/>
        <v>1</v>
      </c>
      <c r="F83" s="2">
        <f t="shared" si="11"/>
        <v>1</v>
      </c>
      <c r="G83" s="21">
        <f>VLOOKUP(A83,PriceSheet!B:D,3,0)</f>
        <v>0.78</v>
      </c>
      <c r="H83" s="21">
        <f t="shared" si="12"/>
        <v>0.78</v>
      </c>
    </row>
    <row r="84" spans="1:8" x14ac:dyDescent="0.25">
      <c r="A84" s="17" t="s">
        <v>120</v>
      </c>
      <c r="B84" s="62">
        <f>HouseSalad</f>
        <v>2</v>
      </c>
      <c r="C84" s="16">
        <f>MealPlannerPrice!E84*B84</f>
        <v>0.16666666666666666</v>
      </c>
      <c r="D84" s="2">
        <v>5</v>
      </c>
      <c r="E84" s="2">
        <f t="shared" si="10"/>
        <v>0.83333333333333326</v>
      </c>
      <c r="F84" s="2">
        <f t="shared" si="11"/>
        <v>1</v>
      </c>
      <c r="G84" s="21">
        <f>VLOOKUP(A84,PriceSheet!B:D,3,0)</f>
        <v>0.92</v>
      </c>
      <c r="H84" s="21">
        <f t="shared" si="12"/>
        <v>0.92</v>
      </c>
    </row>
    <row r="85" spans="1:8" x14ac:dyDescent="0.25">
      <c r="A85" s="2" t="s">
        <v>81</v>
      </c>
      <c r="B85" s="62">
        <f>ChicWings</f>
        <v>0</v>
      </c>
      <c r="C85" s="16">
        <f>MealPlannerPrice!E85*B85</f>
        <v>0</v>
      </c>
      <c r="D85" s="2">
        <v>5</v>
      </c>
      <c r="E85" s="2">
        <f t="shared" si="10"/>
        <v>0</v>
      </c>
      <c r="F85" s="2">
        <f t="shared" si="11"/>
        <v>0</v>
      </c>
      <c r="G85" s="21">
        <f>VLOOKUP(A85,PriceSheet!B:D,3,0)</f>
        <v>1.3033333333333335</v>
      </c>
      <c r="H85" s="21">
        <f t="shared" si="12"/>
        <v>0</v>
      </c>
    </row>
    <row r="86" spans="1:8" x14ac:dyDescent="0.25">
      <c r="A86" s="17" t="s">
        <v>121</v>
      </c>
      <c r="B86" s="62">
        <f>ChicWings</f>
        <v>0</v>
      </c>
      <c r="C86" s="16">
        <f>MealPlannerPrice!E86*B86</f>
        <v>0</v>
      </c>
      <c r="D86" s="2">
        <v>5</v>
      </c>
      <c r="E86" s="2">
        <f t="shared" si="10"/>
        <v>0</v>
      </c>
      <c r="F86" s="2">
        <f t="shared" si="11"/>
        <v>0</v>
      </c>
      <c r="G86" s="21">
        <f>VLOOKUP(A86,PriceSheet!B:D,3,0)</f>
        <v>0.92</v>
      </c>
      <c r="H86" s="21">
        <f t="shared" si="12"/>
        <v>0</v>
      </c>
    </row>
    <row r="87" spans="1:8" x14ac:dyDescent="0.25">
      <c r="A87" s="17" t="s">
        <v>82</v>
      </c>
      <c r="B87" s="62">
        <f>ChicWings</f>
        <v>0</v>
      </c>
      <c r="C87" s="16">
        <f>MealPlannerPrice!E87*B87</f>
        <v>0</v>
      </c>
      <c r="D87" s="2">
        <v>5</v>
      </c>
      <c r="E87" s="2">
        <f t="shared" si="10"/>
        <v>0</v>
      </c>
      <c r="F87" s="2">
        <f t="shared" si="11"/>
        <v>0</v>
      </c>
      <c r="G87" s="21">
        <f>VLOOKUP(A87,PriceSheet!B:D,3,0)</f>
        <v>0.92</v>
      </c>
      <c r="H87" s="21">
        <f t="shared" si="12"/>
        <v>0</v>
      </c>
    </row>
    <row r="88" spans="1:8" x14ac:dyDescent="0.25">
      <c r="A88" s="17" t="s">
        <v>68</v>
      </c>
      <c r="B88" s="62">
        <f>LoadedPot</f>
        <v>0</v>
      </c>
      <c r="C88" s="16">
        <f>MealPlannerPrice!E88*B88</f>
        <v>0</v>
      </c>
      <c r="D88" s="2">
        <v>5</v>
      </c>
      <c r="E88" s="2">
        <f t="shared" si="10"/>
        <v>0</v>
      </c>
      <c r="F88" s="2">
        <f t="shared" si="11"/>
        <v>0</v>
      </c>
      <c r="G88" s="21">
        <f>VLOOKUP(A88,PriceSheet!B:D,3,0)</f>
        <v>0.98</v>
      </c>
      <c r="H88" s="21">
        <f t="shared" si="12"/>
        <v>0</v>
      </c>
    </row>
    <row r="89" spans="1:8" x14ac:dyDescent="0.25">
      <c r="A89" s="17" t="s">
        <v>55</v>
      </c>
      <c r="B89" s="62">
        <f>LoadedPot</f>
        <v>0</v>
      </c>
      <c r="C89" s="16">
        <f>MealPlannerPrice!E89*B89</f>
        <v>0</v>
      </c>
      <c r="D89" s="2">
        <v>5</v>
      </c>
      <c r="E89" s="2">
        <f t="shared" si="10"/>
        <v>0</v>
      </c>
      <c r="F89" s="2">
        <f t="shared" si="11"/>
        <v>0</v>
      </c>
      <c r="G89" s="21">
        <f>VLOOKUP(A89,PriceSheet!B:D,3,0)</f>
        <v>1.98</v>
      </c>
      <c r="H89" s="21">
        <f t="shared" si="12"/>
        <v>0</v>
      </c>
    </row>
    <row r="90" spans="1:8" x14ac:dyDescent="0.25">
      <c r="A90" s="17" t="s">
        <v>56</v>
      </c>
      <c r="B90" s="62">
        <f>LoadedPot</f>
        <v>0</v>
      </c>
      <c r="C90" s="16">
        <f>MealPlannerPrice!E90*B90</f>
        <v>0</v>
      </c>
      <c r="D90" s="2">
        <v>5</v>
      </c>
      <c r="E90" s="2">
        <f t="shared" si="10"/>
        <v>0</v>
      </c>
      <c r="F90" s="2">
        <f t="shared" si="11"/>
        <v>0</v>
      </c>
      <c r="G90" s="21">
        <f>VLOOKUP(A90,PriceSheet!B:D,3,0)</f>
        <v>1.83</v>
      </c>
      <c r="H90" s="21">
        <f t="shared" si="12"/>
        <v>0</v>
      </c>
    </row>
    <row r="91" spans="1:8" x14ac:dyDescent="0.25">
      <c r="A91" s="17" t="s">
        <v>57</v>
      </c>
      <c r="B91" s="62">
        <f>LoadedPot</f>
        <v>0</v>
      </c>
      <c r="C91" s="16">
        <f>MealPlannerPrice!E91*B91</f>
        <v>0</v>
      </c>
      <c r="D91" s="2">
        <v>5</v>
      </c>
      <c r="E91" s="2">
        <f t="shared" si="10"/>
        <v>0</v>
      </c>
      <c r="F91" s="2">
        <f t="shared" si="11"/>
        <v>0</v>
      </c>
      <c r="G91" s="21">
        <f>VLOOKUP(A91,PriceSheet!B:D,3,0)</f>
        <v>1.98</v>
      </c>
      <c r="H91" s="21">
        <f t="shared" si="12"/>
        <v>0</v>
      </c>
    </row>
    <row r="92" spans="1:8" x14ac:dyDescent="0.25">
      <c r="A92" s="17" t="s">
        <v>58</v>
      </c>
      <c r="B92" s="62">
        <f>HomeMac</f>
        <v>0</v>
      </c>
      <c r="C92" s="16">
        <f>MealPlannerPrice!E92*B92</f>
        <v>0</v>
      </c>
      <c r="D92" s="2">
        <v>5</v>
      </c>
      <c r="E92" s="2">
        <f t="shared" si="10"/>
        <v>0</v>
      </c>
      <c r="F92" s="2">
        <f t="shared" si="11"/>
        <v>0</v>
      </c>
      <c r="G92" s="21">
        <f>VLOOKUP(A92,PriceSheet!B:D,3,0)</f>
        <v>2.13</v>
      </c>
      <c r="H92" s="21">
        <f t="shared" si="12"/>
        <v>0</v>
      </c>
    </row>
    <row r="93" spans="1:8" x14ac:dyDescent="0.25">
      <c r="A93" s="17" t="s">
        <v>59</v>
      </c>
      <c r="B93" s="62">
        <f>HomeMac</f>
        <v>0</v>
      </c>
      <c r="C93" s="16">
        <f>MealPlannerPrice!E93*B93</f>
        <v>0</v>
      </c>
      <c r="D93" s="2">
        <v>5</v>
      </c>
      <c r="E93" s="2">
        <f t="shared" si="10"/>
        <v>0</v>
      </c>
      <c r="F93" s="2">
        <f t="shared" si="11"/>
        <v>0</v>
      </c>
      <c r="G93" s="21">
        <f>VLOOKUP(A93,PriceSheet!B:D,3,0)</f>
        <v>3.58</v>
      </c>
      <c r="H93" s="21">
        <f t="shared" si="12"/>
        <v>0</v>
      </c>
    </row>
    <row r="94" spans="1:8" x14ac:dyDescent="0.25">
      <c r="A94" s="17" t="s">
        <v>60</v>
      </c>
      <c r="B94" s="62">
        <f>HomeMac</f>
        <v>0</v>
      </c>
      <c r="C94" s="16">
        <f>MealPlannerPrice!E94*B94</f>
        <v>0</v>
      </c>
      <c r="D94" s="2">
        <v>5</v>
      </c>
      <c r="E94" s="2">
        <f t="shared" si="10"/>
        <v>0</v>
      </c>
      <c r="F94" s="2">
        <f t="shared" si="11"/>
        <v>0</v>
      </c>
      <c r="G94" s="21">
        <f>VLOOKUP(A94,PriceSheet!B:D,3,0)</f>
        <v>0.78</v>
      </c>
      <c r="H94" s="21">
        <f t="shared" si="12"/>
        <v>0</v>
      </c>
    </row>
    <row r="95" spans="1:8" x14ac:dyDescent="0.25">
      <c r="A95" s="17" t="s">
        <v>61</v>
      </c>
      <c r="B95" s="62">
        <f>HomeMac</f>
        <v>0</v>
      </c>
      <c r="C95" s="16">
        <f>MealPlannerPrice!E95*B95</f>
        <v>0</v>
      </c>
      <c r="D95" s="2">
        <v>5</v>
      </c>
      <c r="E95" s="2">
        <f t="shared" si="10"/>
        <v>0</v>
      </c>
      <c r="F95" s="2">
        <f t="shared" si="11"/>
        <v>0</v>
      </c>
      <c r="G95" s="21">
        <f>VLOOKUP(A95,PriceSheet!B:D,3,0)</f>
        <v>1.6</v>
      </c>
      <c r="H95" s="21">
        <f t="shared" si="12"/>
        <v>0</v>
      </c>
    </row>
    <row r="96" spans="1:8" x14ac:dyDescent="0.25">
      <c r="A96" s="2" t="s">
        <v>122</v>
      </c>
      <c r="B96" s="62">
        <f>Aspargus</f>
        <v>1</v>
      </c>
      <c r="C96" s="16">
        <f>MealPlannerPrice!E96*B96</f>
        <v>0.5</v>
      </c>
      <c r="D96" s="2">
        <v>5</v>
      </c>
      <c r="E96" s="2">
        <f t="shared" si="10"/>
        <v>2.5</v>
      </c>
      <c r="F96" s="2">
        <f t="shared" si="11"/>
        <v>3</v>
      </c>
      <c r="G96" s="21">
        <f>VLOOKUP(A96,PriceSheet!B:D,3,0)</f>
        <v>1.98</v>
      </c>
      <c r="H96" s="21">
        <f t="shared" si="12"/>
        <v>5.9399999999999995</v>
      </c>
    </row>
    <row r="97" spans="1:8" x14ac:dyDescent="0.25">
      <c r="A97" s="2" t="s">
        <v>123</v>
      </c>
      <c r="B97" s="62">
        <f>Broccolli</f>
        <v>1</v>
      </c>
      <c r="C97" s="16">
        <f>MealPlannerPrice!E97*B97</f>
        <v>0.33</v>
      </c>
      <c r="D97" s="2">
        <v>5</v>
      </c>
      <c r="E97" s="2">
        <f t="shared" si="10"/>
        <v>1.6500000000000001</v>
      </c>
      <c r="F97" s="2">
        <f t="shared" si="11"/>
        <v>2</v>
      </c>
      <c r="G97" s="21">
        <f>VLOOKUP(A97,PriceSheet!B:D,3,0)</f>
        <v>1.22</v>
      </c>
      <c r="H97" s="21">
        <f t="shared" si="12"/>
        <v>2.44</v>
      </c>
    </row>
    <row r="98" spans="1:8" x14ac:dyDescent="0.25">
      <c r="A98" s="2" t="s">
        <v>12</v>
      </c>
      <c r="B98" s="62">
        <f>FrenchFries</f>
        <v>1</v>
      </c>
      <c r="C98" s="16">
        <f>MealPlannerPrice!E98*B98</f>
        <v>0.8</v>
      </c>
      <c r="D98" s="2">
        <v>5</v>
      </c>
      <c r="E98" s="2">
        <f t="shared" ref="E98:E129" si="13">C98*D98</f>
        <v>4</v>
      </c>
      <c r="F98" s="2">
        <f t="shared" ref="F98:F129" si="14">ROUNDUP(E98,0)</f>
        <v>4</v>
      </c>
      <c r="G98" s="21">
        <f>VLOOKUP(A98,PriceSheet!B:D,3,0)</f>
        <v>2.96</v>
      </c>
      <c r="H98" s="21">
        <f t="shared" ref="H98:H129" si="15">F98*G98</f>
        <v>11.84</v>
      </c>
    </row>
    <row r="99" spans="1:8" x14ac:dyDescent="0.25">
      <c r="A99" s="2" t="s">
        <v>62</v>
      </c>
      <c r="B99" s="62">
        <f>Rice</f>
        <v>2</v>
      </c>
      <c r="C99" s="16">
        <f>MealPlannerPrice!E99*B99</f>
        <v>0.7</v>
      </c>
      <c r="D99" s="2">
        <v>5</v>
      </c>
      <c r="E99" s="2">
        <f t="shared" si="13"/>
        <v>3.5</v>
      </c>
      <c r="F99" s="2">
        <f t="shared" si="14"/>
        <v>4</v>
      </c>
      <c r="G99" s="21">
        <f>VLOOKUP(A99,PriceSheet!B:D,3,0)</f>
        <v>1.98</v>
      </c>
      <c r="H99" s="21">
        <f t="shared" si="15"/>
        <v>7.92</v>
      </c>
    </row>
    <row r="100" spans="1:8" x14ac:dyDescent="0.25">
      <c r="A100" s="2" t="s">
        <v>63</v>
      </c>
      <c r="B100" s="62">
        <f>Carrots</f>
        <v>1</v>
      </c>
      <c r="C100" s="16">
        <f>MealPlannerPrice!E100*B100</f>
        <v>0.5</v>
      </c>
      <c r="D100" s="2">
        <v>5</v>
      </c>
      <c r="E100" s="2">
        <f t="shared" si="13"/>
        <v>2.5</v>
      </c>
      <c r="F100" s="2">
        <f t="shared" si="14"/>
        <v>3</v>
      </c>
      <c r="G100" s="21">
        <f>VLOOKUP(A100,PriceSheet!B:D,3,0)</f>
        <v>1.94</v>
      </c>
      <c r="H100" s="21">
        <f t="shared" si="15"/>
        <v>5.82</v>
      </c>
    </row>
    <row r="101" spans="1:8" x14ac:dyDescent="0.25">
      <c r="A101" s="2" t="s">
        <v>68</v>
      </c>
      <c r="B101" s="62">
        <f>PotWedge</f>
        <v>1</v>
      </c>
      <c r="C101" s="16">
        <f>MealPlannerPrice!E101*B101</f>
        <v>0.5</v>
      </c>
      <c r="D101" s="2">
        <v>5</v>
      </c>
      <c r="E101" s="2">
        <f t="shared" si="13"/>
        <v>2.5</v>
      </c>
      <c r="F101" s="2">
        <f t="shared" si="14"/>
        <v>3</v>
      </c>
      <c r="G101" s="21">
        <f>VLOOKUP(A101,PriceSheet!B:D,3,0)</f>
        <v>0.98</v>
      </c>
      <c r="H101" s="21">
        <f t="shared" si="15"/>
        <v>2.94</v>
      </c>
    </row>
    <row r="102" spans="1:8" x14ac:dyDescent="0.25">
      <c r="A102" s="2" t="s">
        <v>69</v>
      </c>
      <c r="B102" s="62">
        <f>Corn</f>
        <v>1</v>
      </c>
      <c r="C102" s="16">
        <f>MealPlannerPrice!E102*B102</f>
        <v>0.3</v>
      </c>
      <c r="D102" s="2">
        <v>5</v>
      </c>
      <c r="E102" s="2">
        <f t="shared" si="13"/>
        <v>1.5</v>
      </c>
      <c r="F102" s="2">
        <f t="shared" si="14"/>
        <v>2</v>
      </c>
      <c r="G102" s="21">
        <f>VLOOKUP(A102,PriceSheet!B:D,3,0)</f>
        <v>1.18</v>
      </c>
      <c r="H102" s="21">
        <f t="shared" si="15"/>
        <v>2.36</v>
      </c>
    </row>
    <row r="103" spans="1:8" x14ac:dyDescent="0.25">
      <c r="A103" s="2" t="s">
        <v>145</v>
      </c>
      <c r="B103" s="62">
        <f>SweetPot</f>
        <v>0</v>
      </c>
      <c r="C103" s="16">
        <f>MealPlannerPrice!E103*B103</f>
        <v>0</v>
      </c>
      <c r="D103" s="2">
        <v>5</v>
      </c>
      <c r="E103" s="2">
        <f t="shared" si="13"/>
        <v>0</v>
      </c>
      <c r="F103" s="2">
        <f t="shared" si="14"/>
        <v>0</v>
      </c>
      <c r="G103" s="21">
        <f>VLOOKUP(A103,PriceSheet!B:D,3,0)</f>
        <v>0.7</v>
      </c>
      <c r="H103" s="21">
        <f t="shared" si="15"/>
        <v>0</v>
      </c>
    </row>
    <row r="104" spans="1:8" x14ac:dyDescent="0.25">
      <c r="A104" s="2" t="s">
        <v>67</v>
      </c>
      <c r="B104" s="62">
        <f>Cookie</f>
        <v>1</v>
      </c>
      <c r="C104" s="16">
        <f>MealPlannerPrice!E104*B104</f>
        <v>0.1</v>
      </c>
      <c r="D104" s="2">
        <v>5</v>
      </c>
      <c r="E104" s="2">
        <f t="shared" si="13"/>
        <v>0.5</v>
      </c>
      <c r="F104" s="2">
        <f t="shared" si="14"/>
        <v>1</v>
      </c>
      <c r="G104" s="21">
        <f>VLOOKUP(A104,PriceSheet!B:D,3,0)</f>
        <v>4.82</v>
      </c>
      <c r="H104" s="21">
        <f t="shared" si="15"/>
        <v>4.82</v>
      </c>
    </row>
    <row r="105" spans="1:8" x14ac:dyDescent="0.25">
      <c r="A105" s="2" t="s">
        <v>70</v>
      </c>
      <c r="B105" s="62">
        <f>IceCream</f>
        <v>1</v>
      </c>
      <c r="C105" s="16">
        <f>MealPlannerPrice!E105*B105</f>
        <v>0.1</v>
      </c>
      <c r="D105" s="2">
        <v>5</v>
      </c>
      <c r="E105" s="2">
        <f t="shared" si="13"/>
        <v>0.5</v>
      </c>
      <c r="F105" s="2">
        <f t="shared" si="14"/>
        <v>1</v>
      </c>
      <c r="G105" s="21">
        <f>VLOOKUP(A105,PriceSheet!B:D,3,0)</f>
        <v>2.97</v>
      </c>
      <c r="H105" s="21">
        <f t="shared" si="15"/>
        <v>2.97</v>
      </c>
    </row>
    <row r="106" spans="1:8" x14ac:dyDescent="0.25">
      <c r="A106" s="2" t="s">
        <v>124</v>
      </c>
      <c r="B106" s="62">
        <f>CupCake</f>
        <v>1</v>
      </c>
      <c r="C106" s="16">
        <f>MealPlannerPrice!E106*B106</f>
        <v>8.3333333333333329E-2</v>
      </c>
      <c r="D106" s="2">
        <v>5</v>
      </c>
      <c r="E106" s="2">
        <f t="shared" si="13"/>
        <v>0.41666666666666663</v>
      </c>
      <c r="F106" s="2">
        <f t="shared" si="14"/>
        <v>1</v>
      </c>
      <c r="G106" s="21">
        <f>VLOOKUP(A106,PriceSheet!B:D,3,0)</f>
        <v>2.97</v>
      </c>
      <c r="H106" s="21">
        <f t="shared" si="15"/>
        <v>2.97</v>
      </c>
    </row>
    <row r="107" spans="1:8" x14ac:dyDescent="0.25">
      <c r="A107" s="2" t="s">
        <v>71</v>
      </c>
      <c r="B107" s="62">
        <f>popsicle</f>
        <v>1</v>
      </c>
      <c r="C107" s="16">
        <f>MealPlannerPrice!E107*B107</f>
        <v>8.3333333333333329E-2</v>
      </c>
      <c r="D107" s="2">
        <v>5</v>
      </c>
      <c r="E107" s="2">
        <f t="shared" si="13"/>
        <v>0.41666666666666663</v>
      </c>
      <c r="F107" s="2">
        <f t="shared" si="14"/>
        <v>1</v>
      </c>
      <c r="G107" s="21">
        <f>VLOOKUP(A107,PriceSheet!B:D,3,0)</f>
        <v>3.97</v>
      </c>
      <c r="H107" s="21">
        <f t="shared" si="15"/>
        <v>3.97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111</xdr:row>
                    <xdr:rowOff>57150</xdr:rowOff>
                  </from>
                  <to>
                    <xdr:col>1</xdr:col>
                    <xdr:colOff>666750</xdr:colOff>
                    <xdr:row>115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ABB19-7053-498B-8AF8-E65D68F00E29}">
  <sheetPr codeName="Sheet6"/>
  <dimension ref="B1:Q84"/>
  <sheetViews>
    <sheetView workbookViewId="0">
      <selection activeCell="D17" sqref="D17"/>
    </sheetView>
  </sheetViews>
  <sheetFormatPr defaultRowHeight="15" x14ac:dyDescent="0.25"/>
  <cols>
    <col min="1" max="1" width="3.7109375" style="5" customWidth="1"/>
    <col min="2" max="2" width="22" style="5" bestFit="1" customWidth="1"/>
    <col min="3" max="3" width="17" style="5" bestFit="1" customWidth="1"/>
    <col min="4" max="4" width="19.7109375" style="5" bestFit="1" customWidth="1"/>
    <col min="5" max="5" width="10.140625" style="5" customWidth="1"/>
    <col min="6" max="16384" width="9.140625" style="5"/>
  </cols>
  <sheetData>
    <row r="1" spans="2:4" ht="30" x14ac:dyDescent="0.25">
      <c r="B1" s="64" t="s">
        <v>126</v>
      </c>
      <c r="C1" s="65" t="s">
        <v>167</v>
      </c>
      <c r="D1" s="66" t="s">
        <v>186</v>
      </c>
    </row>
    <row r="2" spans="2:4" x14ac:dyDescent="0.25">
      <c r="B2" s="74" t="s">
        <v>40</v>
      </c>
      <c r="C2" s="8">
        <v>0</v>
      </c>
      <c r="D2" s="24">
        <v>0</v>
      </c>
    </row>
    <row r="3" spans="2:4" x14ac:dyDescent="0.25">
      <c r="B3" s="74" t="s">
        <v>64</v>
      </c>
      <c r="C3" s="8">
        <v>10</v>
      </c>
      <c r="D3" s="24">
        <v>7.4</v>
      </c>
    </row>
    <row r="4" spans="2:4" x14ac:dyDescent="0.25">
      <c r="B4" s="74" t="s">
        <v>122</v>
      </c>
      <c r="C4" s="8">
        <v>3</v>
      </c>
      <c r="D4" s="24">
        <v>5.9399999999999995</v>
      </c>
    </row>
    <row r="5" spans="2:4" x14ac:dyDescent="0.25">
      <c r="B5" s="74" t="s">
        <v>54</v>
      </c>
      <c r="C5" s="8">
        <v>1</v>
      </c>
      <c r="D5" s="24">
        <v>3.47</v>
      </c>
    </row>
    <row r="6" spans="2:4" x14ac:dyDescent="0.25">
      <c r="B6" s="74" t="s">
        <v>56</v>
      </c>
      <c r="C6" s="8">
        <v>0</v>
      </c>
      <c r="D6" s="24">
        <v>0</v>
      </c>
    </row>
    <row r="7" spans="2:4" x14ac:dyDescent="0.25">
      <c r="B7" s="74" t="s">
        <v>65</v>
      </c>
      <c r="C7" s="8">
        <v>15</v>
      </c>
      <c r="D7" s="24">
        <v>3.5999999999999996</v>
      </c>
    </row>
    <row r="8" spans="2:4" x14ac:dyDescent="0.25">
      <c r="B8" s="74" t="s">
        <v>80</v>
      </c>
      <c r="C8" s="8">
        <v>2</v>
      </c>
      <c r="D8" s="24">
        <v>3.96</v>
      </c>
    </row>
    <row r="9" spans="2:4" x14ac:dyDescent="0.25">
      <c r="B9" s="74" t="s">
        <v>118</v>
      </c>
      <c r="C9" s="8">
        <v>3</v>
      </c>
      <c r="D9" s="24">
        <v>2.94</v>
      </c>
    </row>
    <row r="10" spans="2:4" x14ac:dyDescent="0.25">
      <c r="B10" s="74" t="s">
        <v>37</v>
      </c>
      <c r="C10" s="8">
        <v>6</v>
      </c>
      <c r="D10" s="24">
        <v>17.580000000000002</v>
      </c>
    </row>
    <row r="11" spans="2:4" x14ac:dyDescent="0.25">
      <c r="B11" s="74" t="s">
        <v>123</v>
      </c>
      <c r="C11" s="8">
        <v>2</v>
      </c>
      <c r="D11" s="24">
        <v>2.44</v>
      </c>
    </row>
    <row r="12" spans="2:4" x14ac:dyDescent="0.25">
      <c r="B12" s="74" t="s">
        <v>121</v>
      </c>
      <c r="C12" s="8">
        <v>0</v>
      </c>
      <c r="D12" s="24">
        <v>0</v>
      </c>
    </row>
    <row r="13" spans="2:4" x14ac:dyDescent="0.25">
      <c r="B13" s="74" t="s">
        <v>36</v>
      </c>
      <c r="C13" s="8">
        <v>2</v>
      </c>
      <c r="D13" s="24">
        <v>5.96</v>
      </c>
    </row>
    <row r="14" spans="2:4" x14ac:dyDescent="0.25">
      <c r="B14" s="74" t="s">
        <v>69</v>
      </c>
      <c r="C14" s="8">
        <v>2</v>
      </c>
      <c r="D14" s="24">
        <v>2.36</v>
      </c>
    </row>
    <row r="15" spans="2:4" x14ac:dyDescent="0.25">
      <c r="B15" s="74" t="s">
        <v>103</v>
      </c>
      <c r="C15" s="8">
        <v>5</v>
      </c>
      <c r="D15" s="24">
        <v>8.9</v>
      </c>
    </row>
    <row r="16" spans="2:4" x14ac:dyDescent="0.25">
      <c r="B16" s="74" t="s">
        <v>63</v>
      </c>
      <c r="C16" s="8">
        <v>3</v>
      </c>
      <c r="D16" s="24">
        <v>5.82</v>
      </c>
    </row>
    <row r="17" spans="2:4" x14ac:dyDescent="0.25">
      <c r="B17" s="74" t="s">
        <v>53</v>
      </c>
      <c r="C17" s="8">
        <v>1</v>
      </c>
      <c r="D17" s="24">
        <v>3.64</v>
      </c>
    </row>
    <row r="18" spans="2:4" x14ac:dyDescent="0.25">
      <c r="B18" s="74" t="s">
        <v>86</v>
      </c>
      <c r="C18" s="8">
        <v>0</v>
      </c>
      <c r="D18" s="24">
        <v>0</v>
      </c>
    </row>
    <row r="19" spans="2:4" x14ac:dyDescent="0.25">
      <c r="B19" s="74" t="s">
        <v>39</v>
      </c>
      <c r="C19" s="8">
        <v>0</v>
      </c>
      <c r="D19" s="24">
        <v>0</v>
      </c>
    </row>
    <row r="20" spans="2:4" x14ac:dyDescent="0.25">
      <c r="B20" s="74" t="s">
        <v>99</v>
      </c>
      <c r="C20" s="8">
        <v>1</v>
      </c>
      <c r="D20" s="24">
        <v>5.44</v>
      </c>
    </row>
    <row r="21" spans="2:4" x14ac:dyDescent="0.25">
      <c r="B21" s="74" t="s">
        <v>81</v>
      </c>
      <c r="C21" s="8">
        <v>0</v>
      </c>
      <c r="D21" s="24">
        <v>0</v>
      </c>
    </row>
    <row r="22" spans="2:4" x14ac:dyDescent="0.25">
      <c r="B22" s="74" t="s">
        <v>112</v>
      </c>
      <c r="C22" s="8">
        <v>1</v>
      </c>
      <c r="D22" s="24">
        <v>8.44</v>
      </c>
    </row>
    <row r="23" spans="2:4" x14ac:dyDescent="0.25">
      <c r="B23" s="74" t="s">
        <v>14</v>
      </c>
      <c r="C23" s="8">
        <v>0</v>
      </c>
      <c r="D23" s="24">
        <v>0</v>
      </c>
    </row>
    <row r="24" spans="2:4" x14ac:dyDescent="0.25">
      <c r="B24" s="74" t="s">
        <v>38</v>
      </c>
      <c r="C24" s="8">
        <v>0</v>
      </c>
      <c r="D24" s="24">
        <v>0</v>
      </c>
    </row>
    <row r="25" spans="2:4" x14ac:dyDescent="0.25">
      <c r="B25" s="74" t="s">
        <v>67</v>
      </c>
      <c r="C25" s="8">
        <v>1</v>
      </c>
      <c r="D25" s="24">
        <v>4.82</v>
      </c>
    </row>
    <row r="26" spans="2:4" x14ac:dyDescent="0.25">
      <c r="B26" s="74" t="s">
        <v>104</v>
      </c>
      <c r="C26" s="8">
        <v>1</v>
      </c>
      <c r="D26" s="24">
        <v>2.56</v>
      </c>
    </row>
    <row r="27" spans="2:4" x14ac:dyDescent="0.25">
      <c r="B27" s="74" t="s">
        <v>124</v>
      </c>
      <c r="C27" s="8">
        <v>1</v>
      </c>
      <c r="D27" s="24">
        <v>2.97</v>
      </c>
    </row>
    <row r="28" spans="2:4" x14ac:dyDescent="0.25">
      <c r="B28" s="74" t="s">
        <v>120</v>
      </c>
      <c r="C28" s="8">
        <v>1</v>
      </c>
      <c r="D28" s="24">
        <v>0.92</v>
      </c>
    </row>
    <row r="29" spans="2:4" x14ac:dyDescent="0.25">
      <c r="B29" s="74" t="s">
        <v>85</v>
      </c>
      <c r="C29" s="8">
        <v>6</v>
      </c>
      <c r="D29" s="24">
        <v>29.82</v>
      </c>
    </row>
    <row r="30" spans="2:4" x14ac:dyDescent="0.25">
      <c r="B30" s="75" t="s">
        <v>161</v>
      </c>
      <c r="C30" s="8">
        <v>0</v>
      </c>
      <c r="D30" s="24">
        <v>0</v>
      </c>
    </row>
    <row r="31" spans="2:4" x14ac:dyDescent="0.25">
      <c r="B31" s="74" t="s">
        <v>12</v>
      </c>
      <c r="C31" s="8">
        <v>4</v>
      </c>
      <c r="D31" s="24">
        <v>11.84</v>
      </c>
    </row>
    <row r="32" spans="2:4" x14ac:dyDescent="0.25">
      <c r="B32" s="74" t="s">
        <v>111</v>
      </c>
      <c r="C32" s="8">
        <v>0</v>
      </c>
      <c r="D32" s="24">
        <v>0</v>
      </c>
    </row>
    <row r="33" spans="2:17" x14ac:dyDescent="0.25">
      <c r="B33" s="74" t="s">
        <v>114</v>
      </c>
      <c r="C33" s="8">
        <v>1</v>
      </c>
      <c r="D33" s="24">
        <v>3.22</v>
      </c>
    </row>
    <row r="34" spans="2:17" x14ac:dyDescent="0.25">
      <c r="B34" s="74" t="s">
        <v>52</v>
      </c>
      <c r="C34" s="8">
        <v>1</v>
      </c>
      <c r="D34" s="24">
        <v>3.78</v>
      </c>
    </row>
    <row r="35" spans="2:17" x14ac:dyDescent="0.25">
      <c r="B35" s="74" t="s">
        <v>105</v>
      </c>
      <c r="C35" s="8">
        <v>0</v>
      </c>
      <c r="D35" s="24">
        <v>0</v>
      </c>
    </row>
    <row r="36" spans="2:17" x14ac:dyDescent="0.25">
      <c r="B36" s="74" t="s">
        <v>41</v>
      </c>
      <c r="C36" s="8">
        <v>6</v>
      </c>
      <c r="D36" s="24">
        <v>25.74</v>
      </c>
    </row>
    <row r="37" spans="2:17" x14ac:dyDescent="0.25">
      <c r="B37" s="74" t="s">
        <v>76</v>
      </c>
      <c r="C37" s="8">
        <v>0</v>
      </c>
      <c r="D37" s="24">
        <v>0</v>
      </c>
    </row>
    <row r="38" spans="2:17" x14ac:dyDescent="0.25">
      <c r="B38" s="74" t="s">
        <v>61</v>
      </c>
      <c r="C38" s="8">
        <v>0</v>
      </c>
      <c r="D38" s="24">
        <v>0</v>
      </c>
    </row>
    <row r="39" spans="2:17" x14ac:dyDescent="0.25">
      <c r="B39" s="74" t="s">
        <v>44</v>
      </c>
      <c r="C39" s="8">
        <v>3</v>
      </c>
      <c r="D39" s="24">
        <v>6.84</v>
      </c>
    </row>
    <row r="40" spans="2:17" x14ac:dyDescent="0.25">
      <c r="B40" s="74" t="s">
        <v>27</v>
      </c>
      <c r="C40" s="8">
        <v>3</v>
      </c>
      <c r="D40" s="24">
        <v>11.58</v>
      </c>
    </row>
    <row r="41" spans="2:17" x14ac:dyDescent="0.25">
      <c r="B41" s="74" t="s">
        <v>70</v>
      </c>
      <c r="C41" s="8">
        <v>1</v>
      </c>
      <c r="D41" s="24">
        <v>2.97</v>
      </c>
    </row>
    <row r="42" spans="2:17" x14ac:dyDescent="0.25">
      <c r="B42" s="74" t="s">
        <v>106</v>
      </c>
      <c r="C42" s="8">
        <v>7</v>
      </c>
      <c r="D42" s="24">
        <v>10.36</v>
      </c>
    </row>
    <row r="43" spans="2:17" x14ac:dyDescent="0.25">
      <c r="B43" s="74" t="s">
        <v>50</v>
      </c>
      <c r="C43" s="8">
        <v>1</v>
      </c>
      <c r="D43" s="24">
        <v>2.92</v>
      </c>
    </row>
    <row r="44" spans="2:17" x14ac:dyDescent="0.25">
      <c r="B44" s="74" t="s">
        <v>77</v>
      </c>
      <c r="C44" s="8">
        <v>0</v>
      </c>
      <c r="D44" s="24">
        <v>0</v>
      </c>
    </row>
    <row r="45" spans="2:17" x14ac:dyDescent="0.25">
      <c r="B45" s="74" t="s">
        <v>58</v>
      </c>
      <c r="C45" s="8">
        <v>0</v>
      </c>
      <c r="D45" s="24">
        <v>0</v>
      </c>
    </row>
    <row r="46" spans="2:17" x14ac:dyDescent="0.25">
      <c r="B46" s="74" t="s">
        <v>46</v>
      </c>
      <c r="C46" s="8">
        <v>1</v>
      </c>
      <c r="D46" s="24">
        <v>2.98</v>
      </c>
    </row>
    <row r="47" spans="2:17" x14ac:dyDescent="0.25">
      <c r="B47" s="74" t="s">
        <v>79</v>
      </c>
      <c r="C47" s="8">
        <v>1</v>
      </c>
      <c r="D47" s="24">
        <v>3.07</v>
      </c>
    </row>
    <row r="48" spans="2:17" s="44" customFormat="1" x14ac:dyDescent="0.25">
      <c r="B48" s="74" t="s">
        <v>47</v>
      </c>
      <c r="C48" s="48">
        <v>2</v>
      </c>
      <c r="D48" s="49">
        <v>3.12</v>
      </c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2:17" s="44" customFormat="1" x14ac:dyDescent="0.25">
      <c r="B49" s="74" t="s">
        <v>113</v>
      </c>
      <c r="C49" s="48">
        <v>1</v>
      </c>
      <c r="D49" s="49">
        <v>4.78</v>
      </c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2:17" s="44" customFormat="1" x14ac:dyDescent="0.25">
      <c r="B50" s="74" t="s">
        <v>5</v>
      </c>
      <c r="C50" s="48">
        <v>0</v>
      </c>
      <c r="D50" s="49">
        <v>0</v>
      </c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2:17" s="44" customFormat="1" x14ac:dyDescent="0.25">
      <c r="B51" s="74" t="s">
        <v>60</v>
      </c>
      <c r="C51" s="48">
        <v>1</v>
      </c>
      <c r="D51" s="49">
        <v>0.78</v>
      </c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2:17" s="44" customFormat="1" x14ac:dyDescent="0.25">
      <c r="B52" s="74" t="s">
        <v>66</v>
      </c>
      <c r="C52" s="48">
        <v>5</v>
      </c>
      <c r="D52" s="49">
        <v>7.68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2:17" s="44" customFormat="1" x14ac:dyDescent="0.25">
      <c r="B53" s="74" t="s">
        <v>116</v>
      </c>
      <c r="C53" s="48">
        <v>2</v>
      </c>
      <c r="D53" s="49">
        <v>5</v>
      </c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2:17" s="44" customFormat="1" x14ac:dyDescent="0.25">
      <c r="B54" s="74" t="s">
        <v>119</v>
      </c>
      <c r="C54" s="48">
        <v>1</v>
      </c>
      <c r="D54" s="49">
        <v>2.67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2:17" s="44" customFormat="1" x14ac:dyDescent="0.25">
      <c r="B55" s="74" t="s">
        <v>49</v>
      </c>
      <c r="C55" s="48">
        <v>1</v>
      </c>
      <c r="D55" s="49">
        <v>2.34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2:17" s="44" customFormat="1" x14ac:dyDescent="0.25">
      <c r="B56" s="74" t="s">
        <v>43</v>
      </c>
      <c r="C56" s="48">
        <v>1</v>
      </c>
      <c r="D56" s="49">
        <v>2.88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2:17" s="44" customFormat="1" x14ac:dyDescent="0.25">
      <c r="B57" s="74" t="s">
        <v>29</v>
      </c>
      <c r="C57" s="48">
        <v>2</v>
      </c>
      <c r="D57" s="49">
        <v>9.76</v>
      </c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2:17" s="44" customFormat="1" x14ac:dyDescent="0.25">
      <c r="B58" s="74" t="s">
        <v>115</v>
      </c>
      <c r="C58" s="48">
        <v>1</v>
      </c>
      <c r="D58" s="49">
        <v>3</v>
      </c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2:17" s="44" customFormat="1" x14ac:dyDescent="0.25">
      <c r="B59" s="74" t="s">
        <v>71</v>
      </c>
      <c r="C59" s="48">
        <v>1</v>
      </c>
      <c r="D59" s="49">
        <v>3.97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2:17" s="44" customFormat="1" x14ac:dyDescent="0.25">
      <c r="B60" s="74" t="s">
        <v>74</v>
      </c>
      <c r="C60" s="48">
        <v>0</v>
      </c>
      <c r="D60" s="49">
        <v>0</v>
      </c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2:17" s="44" customFormat="1" x14ac:dyDescent="0.25">
      <c r="B61" s="74" t="s">
        <v>68</v>
      </c>
      <c r="C61" s="48">
        <v>3</v>
      </c>
      <c r="D61" s="49">
        <v>2.94</v>
      </c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2:17" s="44" customFormat="1" x14ac:dyDescent="0.25">
      <c r="B62" s="74" t="s">
        <v>82</v>
      </c>
      <c r="C62" s="48">
        <v>0</v>
      </c>
      <c r="D62" s="49">
        <v>0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2:17" s="44" customFormat="1" x14ac:dyDescent="0.25">
      <c r="B63" s="74" t="s">
        <v>9</v>
      </c>
      <c r="C63" s="48">
        <v>0</v>
      </c>
      <c r="D63" s="49">
        <v>0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2:17" s="44" customFormat="1" x14ac:dyDescent="0.25">
      <c r="B64" s="74" t="s">
        <v>62</v>
      </c>
      <c r="C64" s="48">
        <v>4</v>
      </c>
      <c r="D64" s="49">
        <v>7.92</v>
      </c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2:17" s="44" customFormat="1" x14ac:dyDescent="0.25">
      <c r="B65" s="74" t="s">
        <v>10</v>
      </c>
      <c r="C65" s="48">
        <v>0</v>
      </c>
      <c r="D65" s="49">
        <v>0</v>
      </c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2:17" x14ac:dyDescent="0.25">
      <c r="B66" s="74" t="s">
        <v>84</v>
      </c>
      <c r="C66" s="8">
        <v>2</v>
      </c>
      <c r="D66" s="24">
        <v>3.96</v>
      </c>
    </row>
    <row r="67" spans="2:17" x14ac:dyDescent="0.25">
      <c r="B67" s="74" t="s">
        <v>59</v>
      </c>
      <c r="C67" s="8">
        <v>0</v>
      </c>
      <c r="D67" s="24">
        <v>0</v>
      </c>
    </row>
    <row r="68" spans="2:17" x14ac:dyDescent="0.25">
      <c r="B68" s="75" t="s">
        <v>146</v>
      </c>
      <c r="C68" s="8">
        <v>1</v>
      </c>
      <c r="D68" s="24">
        <v>1.98</v>
      </c>
    </row>
    <row r="69" spans="2:17" x14ac:dyDescent="0.25">
      <c r="B69" s="74" t="s">
        <v>57</v>
      </c>
      <c r="C69" s="8">
        <v>2</v>
      </c>
      <c r="D69" s="24">
        <v>3.96</v>
      </c>
    </row>
    <row r="70" spans="2:17" x14ac:dyDescent="0.25">
      <c r="B70" s="74" t="s">
        <v>73</v>
      </c>
      <c r="C70" s="8">
        <v>5</v>
      </c>
      <c r="D70" s="24">
        <v>28.3</v>
      </c>
    </row>
    <row r="71" spans="2:17" x14ac:dyDescent="0.25">
      <c r="B71" s="74" t="s">
        <v>75</v>
      </c>
      <c r="C71" s="8">
        <v>2</v>
      </c>
      <c r="D71" s="24">
        <v>7.94</v>
      </c>
    </row>
    <row r="72" spans="2:17" x14ac:dyDescent="0.25">
      <c r="B72" s="74" t="s">
        <v>45</v>
      </c>
      <c r="C72" s="8">
        <v>2</v>
      </c>
      <c r="D72" s="24">
        <v>11.96</v>
      </c>
    </row>
    <row r="73" spans="2:17" x14ac:dyDescent="0.25">
      <c r="B73" s="74" t="s">
        <v>55</v>
      </c>
      <c r="C73" s="8">
        <v>0</v>
      </c>
      <c r="D73" s="24">
        <v>0</v>
      </c>
    </row>
    <row r="74" spans="2:17" x14ac:dyDescent="0.25">
      <c r="B74" s="74" t="s">
        <v>110</v>
      </c>
      <c r="C74" s="8">
        <v>0</v>
      </c>
      <c r="D74" s="24">
        <v>0</v>
      </c>
    </row>
    <row r="75" spans="2:17" x14ac:dyDescent="0.25">
      <c r="B75" s="74" t="s">
        <v>72</v>
      </c>
      <c r="C75" s="8">
        <v>0</v>
      </c>
      <c r="D75" s="24">
        <v>0</v>
      </c>
    </row>
    <row r="76" spans="2:17" x14ac:dyDescent="0.25">
      <c r="B76" s="75" t="s">
        <v>145</v>
      </c>
      <c r="C76" s="8">
        <v>0</v>
      </c>
      <c r="D76" s="24">
        <v>0</v>
      </c>
    </row>
    <row r="77" spans="2:17" x14ac:dyDescent="0.25">
      <c r="B77" s="74" t="s">
        <v>48</v>
      </c>
      <c r="C77" s="8">
        <v>10</v>
      </c>
      <c r="D77" s="24">
        <v>9.1</v>
      </c>
    </row>
    <row r="78" spans="2:17" x14ac:dyDescent="0.25">
      <c r="B78" s="74" t="s">
        <v>42</v>
      </c>
      <c r="C78" s="8">
        <v>2</v>
      </c>
      <c r="D78" s="24">
        <v>9.86</v>
      </c>
    </row>
    <row r="79" spans="2:17" x14ac:dyDescent="0.25">
      <c r="B79" s="74" t="s">
        <v>83</v>
      </c>
      <c r="C79" s="8">
        <v>2</v>
      </c>
      <c r="D79" s="24">
        <v>4.5599999999999996</v>
      </c>
    </row>
    <row r="80" spans="2:17" x14ac:dyDescent="0.25">
      <c r="B80" s="74" t="s">
        <v>117</v>
      </c>
      <c r="C80" s="8">
        <v>0</v>
      </c>
      <c r="D80" s="24">
        <v>0</v>
      </c>
    </row>
    <row r="81" spans="2:4" x14ac:dyDescent="0.25">
      <c r="B81" s="74" t="s">
        <v>51</v>
      </c>
      <c r="C81" s="8">
        <v>5</v>
      </c>
      <c r="D81" s="24">
        <v>6.7</v>
      </c>
    </row>
    <row r="82" spans="2:4" x14ac:dyDescent="0.25">
      <c r="B82" s="76" t="s">
        <v>185</v>
      </c>
      <c r="C82" s="8"/>
      <c r="D82" s="24"/>
    </row>
    <row r="83" spans="2:4" x14ac:dyDescent="0.25">
      <c r="B83" s="6"/>
      <c r="C83" s="6"/>
    </row>
    <row r="84" spans="2:4" x14ac:dyDescent="0.25">
      <c r="B84" s="6"/>
      <c r="C84" s="6"/>
    </row>
  </sheetData>
  <customSheetViews>
    <customSheetView guid="{45A1D012-B874-4DD8-9662-AFBB0284400B}" hiddenColumns="1">
      <selection activeCell="V9" sqref="V9"/>
      <pageMargins left="0.25" right="0.25" top="0.75" bottom="0.75" header="0.3" footer="0.3"/>
      <pageSetup orientation="portrait" horizontalDpi="4294967293" verticalDpi="0" r:id="rId2"/>
    </customSheetView>
  </customSheetViews>
  <pageMargins left="0" right="0" top="0.5" bottom="0.5" header="0.3" footer="0.3"/>
  <pageSetup orientation="portrait" horizontalDpi="4294967293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ShowBanner_Click">
                <anchor moveWithCells="1" sizeWithCells="1">
                  <from>
                    <xdr:col>23</xdr:col>
                    <xdr:colOff>38100</xdr:colOff>
                    <xdr:row>3</xdr:row>
                    <xdr:rowOff>161925</xdr:rowOff>
                  </from>
                  <to>
                    <xdr:col>24</xdr:col>
                    <xdr:colOff>485775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848E9-069C-4186-BB21-23D8DE9AAB4B}">
  <sheetPr codeName="Sheet4"/>
  <dimension ref="B1:D81"/>
  <sheetViews>
    <sheetView workbookViewId="0">
      <selection activeCell="B4" sqref="B4"/>
    </sheetView>
  </sheetViews>
  <sheetFormatPr defaultRowHeight="15" x14ac:dyDescent="0.25"/>
  <cols>
    <col min="2" max="2" width="22" bestFit="1" customWidth="1"/>
    <col min="3" max="3" width="23.140625" customWidth="1"/>
    <col min="4" max="4" width="16.28515625" customWidth="1"/>
  </cols>
  <sheetData>
    <row r="1" spans="2:4" x14ac:dyDescent="0.25">
      <c r="B1" s="15" t="s">
        <v>162</v>
      </c>
      <c r="C1" s="15" t="s">
        <v>108</v>
      </c>
      <c r="D1" s="15" t="s">
        <v>160</v>
      </c>
    </row>
    <row r="2" spans="2:4" x14ac:dyDescent="0.25">
      <c r="B2" s="2" t="s">
        <v>111</v>
      </c>
      <c r="C2" s="16">
        <v>0.1</v>
      </c>
      <c r="D2" s="21">
        <v>4.4000000000000004</v>
      </c>
    </row>
    <row r="3" spans="2:4" x14ac:dyDescent="0.25">
      <c r="B3" s="2" t="s">
        <v>112</v>
      </c>
      <c r="C3" s="16">
        <v>0.05</v>
      </c>
      <c r="D3" s="21">
        <v>8.44</v>
      </c>
    </row>
    <row r="4" spans="2:4" x14ac:dyDescent="0.25">
      <c r="B4" s="2" t="s">
        <v>64</v>
      </c>
      <c r="C4" s="16">
        <v>1</v>
      </c>
      <c r="D4" s="21">
        <v>0.74</v>
      </c>
    </row>
    <row r="5" spans="2:4" x14ac:dyDescent="0.25">
      <c r="B5" s="2" t="s">
        <v>65</v>
      </c>
      <c r="C5" s="16">
        <v>1</v>
      </c>
      <c r="D5" s="21">
        <v>0.24</v>
      </c>
    </row>
    <row r="6" spans="2:4" x14ac:dyDescent="0.25">
      <c r="B6" s="2" t="s">
        <v>66</v>
      </c>
      <c r="C6" s="16">
        <v>1</v>
      </c>
      <c r="D6" s="21">
        <f>0.096*16</f>
        <v>1.536</v>
      </c>
    </row>
    <row r="7" spans="2:4" x14ac:dyDescent="0.25">
      <c r="B7" s="2" t="s">
        <v>113</v>
      </c>
      <c r="C7" s="16">
        <v>0.125</v>
      </c>
      <c r="D7" s="21">
        <v>4.78</v>
      </c>
    </row>
    <row r="8" spans="2:4" x14ac:dyDescent="0.25">
      <c r="B8" s="2" t="s">
        <v>114</v>
      </c>
      <c r="C8" s="16">
        <v>0.125</v>
      </c>
      <c r="D8" s="21">
        <v>3.22</v>
      </c>
    </row>
    <row r="9" spans="2:4" x14ac:dyDescent="0.25">
      <c r="B9" s="2" t="s">
        <v>51</v>
      </c>
      <c r="C9" s="16">
        <v>1</v>
      </c>
      <c r="D9" s="21">
        <v>1.34</v>
      </c>
    </row>
    <row r="10" spans="2:4" x14ac:dyDescent="0.25">
      <c r="B10" s="2" t="s">
        <v>37</v>
      </c>
      <c r="C10" s="16">
        <v>0.125</v>
      </c>
      <c r="D10" s="21">
        <v>2.93</v>
      </c>
    </row>
    <row r="11" spans="2:4" x14ac:dyDescent="0.25">
      <c r="B11" s="2" t="s">
        <v>115</v>
      </c>
      <c r="C11" s="16">
        <v>0.125</v>
      </c>
      <c r="D11" s="21">
        <v>3</v>
      </c>
    </row>
    <row r="12" spans="2:4" x14ac:dyDescent="0.25">
      <c r="B12" s="2" t="s">
        <v>86</v>
      </c>
      <c r="C12" s="16">
        <v>0.125</v>
      </c>
      <c r="D12" s="21">
        <v>5.48</v>
      </c>
    </row>
    <row r="13" spans="2:4" x14ac:dyDescent="0.25">
      <c r="B13" s="2" t="s">
        <v>38</v>
      </c>
      <c r="C13" s="16">
        <v>8.3333333333333329E-2</v>
      </c>
      <c r="D13" s="21">
        <v>3.92</v>
      </c>
    </row>
    <row r="14" spans="2:4" x14ac:dyDescent="0.25">
      <c r="B14" s="2" t="s">
        <v>85</v>
      </c>
      <c r="C14" s="16">
        <v>0.16666666666666666</v>
      </c>
      <c r="D14" s="21">
        <v>4.97</v>
      </c>
    </row>
    <row r="15" spans="2:4" x14ac:dyDescent="0.25">
      <c r="B15" s="2" t="s">
        <v>54</v>
      </c>
      <c r="C15" s="16">
        <v>0.16666666666666666</v>
      </c>
      <c r="D15" s="21">
        <v>3.47</v>
      </c>
    </row>
    <row r="16" spans="2:4" x14ac:dyDescent="0.25">
      <c r="B16" s="2" t="s">
        <v>80</v>
      </c>
      <c r="C16" s="16">
        <v>0.25</v>
      </c>
      <c r="D16" s="21">
        <v>1.98</v>
      </c>
    </row>
    <row r="17" spans="2:4" x14ac:dyDescent="0.25">
      <c r="B17" s="2" t="s">
        <v>105</v>
      </c>
      <c r="C17" s="16">
        <v>0.25</v>
      </c>
      <c r="D17" s="21">
        <v>0.88</v>
      </c>
    </row>
    <row r="18" spans="2:4" x14ac:dyDescent="0.25">
      <c r="B18" s="2" t="s">
        <v>116</v>
      </c>
      <c r="C18" s="16">
        <v>0.2</v>
      </c>
      <c r="D18" s="21">
        <v>2.5</v>
      </c>
    </row>
    <row r="19" spans="2:4" x14ac:dyDescent="0.25">
      <c r="B19" s="2" t="s">
        <v>117</v>
      </c>
      <c r="C19" s="16">
        <v>0.2</v>
      </c>
      <c r="D19" s="21">
        <v>2.17</v>
      </c>
    </row>
    <row r="20" spans="2:4" x14ac:dyDescent="0.25">
      <c r="B20" s="2" t="s">
        <v>53</v>
      </c>
      <c r="C20" s="16">
        <v>8.3333333333333329E-2</v>
      </c>
      <c r="D20" s="21">
        <v>3.64</v>
      </c>
    </row>
    <row r="21" spans="2:4" x14ac:dyDescent="0.25">
      <c r="B21" s="2" t="s">
        <v>52</v>
      </c>
      <c r="C21" s="16">
        <v>8.3333333333333329E-2</v>
      </c>
      <c r="D21" s="21">
        <v>3.78</v>
      </c>
    </row>
    <row r="22" spans="2:4" x14ac:dyDescent="0.25">
      <c r="B22" s="17" t="s">
        <v>49</v>
      </c>
      <c r="C22" s="16">
        <v>0.05</v>
      </c>
      <c r="D22" s="21">
        <v>2.34</v>
      </c>
    </row>
    <row r="23" spans="2:4" x14ac:dyDescent="0.25">
      <c r="B23" s="17" t="s">
        <v>50</v>
      </c>
      <c r="C23" s="16">
        <v>0.05</v>
      </c>
      <c r="D23" s="21">
        <v>2.92</v>
      </c>
    </row>
    <row r="24" spans="2:4" x14ac:dyDescent="0.25">
      <c r="B24" s="17" t="s">
        <v>45</v>
      </c>
      <c r="C24" s="16">
        <v>0.16666666666666666</v>
      </c>
      <c r="D24" s="21">
        <v>5.98</v>
      </c>
    </row>
    <row r="25" spans="2:4" x14ac:dyDescent="0.25">
      <c r="B25" s="17" t="s">
        <v>106</v>
      </c>
      <c r="C25" s="16">
        <v>0.08</v>
      </c>
      <c r="D25" s="21">
        <v>1.48</v>
      </c>
    </row>
    <row r="26" spans="2:4" x14ac:dyDescent="0.25">
      <c r="B26" s="17" t="s">
        <v>48</v>
      </c>
      <c r="C26" s="16">
        <v>0.25</v>
      </c>
      <c r="D26" s="21">
        <v>0.91</v>
      </c>
    </row>
    <row r="27" spans="2:4" x14ac:dyDescent="0.25">
      <c r="B27" s="17" t="s">
        <v>46</v>
      </c>
      <c r="C27" s="16">
        <v>3.125E-2</v>
      </c>
      <c r="D27" s="21">
        <v>2.98</v>
      </c>
    </row>
    <row r="28" spans="2:4" x14ac:dyDescent="0.25">
      <c r="B28" s="17" t="s">
        <v>47</v>
      </c>
      <c r="C28" s="16">
        <v>3.125E-2</v>
      </c>
      <c r="D28" s="21">
        <v>1.56</v>
      </c>
    </row>
    <row r="29" spans="2:4" x14ac:dyDescent="0.25">
      <c r="B29" s="17" t="s">
        <v>27</v>
      </c>
      <c r="C29" s="16">
        <v>0.25</v>
      </c>
      <c r="D29" s="21">
        <v>3.86</v>
      </c>
    </row>
    <row r="30" spans="2:4" x14ac:dyDescent="0.25">
      <c r="B30" s="17" t="s">
        <v>44</v>
      </c>
      <c r="C30" s="16">
        <v>0.25</v>
      </c>
      <c r="D30" s="21">
        <v>2.2799999999999998</v>
      </c>
    </row>
    <row r="31" spans="2:4" x14ac:dyDescent="0.25">
      <c r="B31" s="17" t="s">
        <v>103</v>
      </c>
      <c r="C31" s="16">
        <v>1</v>
      </c>
      <c r="D31" s="21">
        <v>1.78</v>
      </c>
    </row>
    <row r="32" spans="2:4" x14ac:dyDescent="0.25">
      <c r="B32" s="17" t="s">
        <v>104</v>
      </c>
      <c r="C32" s="16">
        <v>0.05</v>
      </c>
      <c r="D32" s="21">
        <v>2.56</v>
      </c>
    </row>
    <row r="33" spans="2:4" x14ac:dyDescent="0.25">
      <c r="B33" s="17" t="s">
        <v>36</v>
      </c>
      <c r="C33" s="16">
        <v>3.125E-2</v>
      </c>
      <c r="D33" s="21">
        <v>2.98</v>
      </c>
    </row>
    <row r="34" spans="2:4" x14ac:dyDescent="0.25">
      <c r="B34" s="17" t="s">
        <v>118</v>
      </c>
      <c r="C34" s="16">
        <v>0.5</v>
      </c>
      <c r="D34" s="21">
        <v>0.98</v>
      </c>
    </row>
    <row r="35" spans="2:4" x14ac:dyDescent="0.25">
      <c r="B35" s="17" t="s">
        <v>79</v>
      </c>
      <c r="C35" s="16">
        <v>1.5625E-2</v>
      </c>
      <c r="D35" s="21">
        <v>3.07</v>
      </c>
    </row>
    <row r="36" spans="2:4" x14ac:dyDescent="0.25">
      <c r="B36" s="17" t="s">
        <v>41</v>
      </c>
      <c r="C36" s="16">
        <v>0.25</v>
      </c>
      <c r="D36" s="21">
        <v>4.29</v>
      </c>
    </row>
    <row r="37" spans="2:4" x14ac:dyDescent="0.25">
      <c r="B37" s="17" t="s">
        <v>76</v>
      </c>
      <c r="C37" s="16">
        <v>0.125</v>
      </c>
      <c r="D37" s="21">
        <v>2.2799999999999998</v>
      </c>
    </row>
    <row r="38" spans="2:4" x14ac:dyDescent="0.25">
      <c r="B38" s="17" t="s">
        <v>77</v>
      </c>
      <c r="C38" s="16">
        <v>3.125E-2</v>
      </c>
      <c r="D38" s="21">
        <v>2.88</v>
      </c>
    </row>
    <row r="39" spans="2:4" x14ac:dyDescent="0.25">
      <c r="B39" s="2" t="s">
        <v>29</v>
      </c>
      <c r="C39" s="16">
        <v>0.33</v>
      </c>
      <c r="D39" s="21">
        <v>4.88</v>
      </c>
    </row>
    <row r="40" spans="2:4" x14ac:dyDescent="0.25">
      <c r="B40" s="17" t="s">
        <v>42</v>
      </c>
      <c r="C40" s="16">
        <v>0.2</v>
      </c>
      <c r="D40" s="21">
        <v>4.93</v>
      </c>
    </row>
    <row r="41" spans="2:4" x14ac:dyDescent="0.25">
      <c r="B41" s="17" t="s">
        <v>43</v>
      </c>
      <c r="C41" s="16">
        <v>0.2</v>
      </c>
      <c r="D41" s="21">
        <v>2.88</v>
      </c>
    </row>
    <row r="42" spans="2:4" x14ac:dyDescent="0.25">
      <c r="B42" s="17" t="s">
        <v>119</v>
      </c>
      <c r="C42" s="16">
        <v>3.125E-2</v>
      </c>
      <c r="D42" s="21">
        <v>2.67</v>
      </c>
    </row>
    <row r="43" spans="2:4" x14ac:dyDescent="0.25">
      <c r="B43" s="17" t="s">
        <v>99</v>
      </c>
      <c r="C43" s="16">
        <v>0.125</v>
      </c>
      <c r="D43" s="21">
        <v>5.44</v>
      </c>
    </row>
    <row r="44" spans="2:4" x14ac:dyDescent="0.25">
      <c r="B44" s="17" t="s">
        <v>83</v>
      </c>
      <c r="C44" s="16">
        <v>0.125</v>
      </c>
      <c r="D44" s="21">
        <v>2.2799999999999998</v>
      </c>
    </row>
    <row r="45" spans="2:4" x14ac:dyDescent="0.25">
      <c r="B45" s="17" t="s">
        <v>57</v>
      </c>
      <c r="C45" s="16">
        <v>0.05</v>
      </c>
      <c r="D45" s="21">
        <v>1.98</v>
      </c>
    </row>
    <row r="46" spans="2:4" x14ac:dyDescent="0.25">
      <c r="B46" s="17" t="s">
        <v>84</v>
      </c>
      <c r="C46" s="16">
        <v>3.125E-2</v>
      </c>
      <c r="D46" s="21">
        <v>1.98</v>
      </c>
    </row>
    <row r="47" spans="2:4" x14ac:dyDescent="0.25">
      <c r="B47" s="17" t="s">
        <v>110</v>
      </c>
      <c r="C47" s="16">
        <v>0.125</v>
      </c>
      <c r="D47" s="21">
        <v>0.98</v>
      </c>
    </row>
    <row r="48" spans="2:4" x14ac:dyDescent="0.25">
      <c r="B48" s="17" t="s">
        <v>72</v>
      </c>
      <c r="C48" s="16">
        <v>0.25</v>
      </c>
      <c r="D48" s="21">
        <v>1.88</v>
      </c>
    </row>
    <row r="49" spans="2:4" x14ac:dyDescent="0.25">
      <c r="B49" s="17" t="s">
        <v>161</v>
      </c>
      <c r="C49" s="16">
        <v>0.125</v>
      </c>
      <c r="D49" s="21">
        <v>1.34</v>
      </c>
    </row>
    <row r="50" spans="2:4" x14ac:dyDescent="0.25">
      <c r="B50" s="17" t="s">
        <v>40</v>
      </c>
      <c r="C50" s="16">
        <v>0.2</v>
      </c>
      <c r="D50" s="21">
        <v>2.68</v>
      </c>
    </row>
    <row r="51" spans="2:4" x14ac:dyDescent="0.25">
      <c r="B51" s="2" t="s">
        <v>10</v>
      </c>
      <c r="C51" s="16">
        <v>1</v>
      </c>
      <c r="D51" s="21">
        <v>8.85</v>
      </c>
    </row>
    <row r="52" spans="2:4" x14ac:dyDescent="0.25">
      <c r="B52" s="2" t="s">
        <v>14</v>
      </c>
      <c r="C52" s="16">
        <v>1</v>
      </c>
      <c r="D52" s="21">
        <v>5.99</v>
      </c>
    </row>
    <row r="53" spans="2:4" x14ac:dyDescent="0.25">
      <c r="B53" s="2" t="s">
        <v>5</v>
      </c>
      <c r="C53" s="16">
        <v>1</v>
      </c>
      <c r="D53" s="21">
        <v>11.47</v>
      </c>
    </row>
    <row r="54" spans="2:4" x14ac:dyDescent="0.25">
      <c r="B54" s="2" t="s">
        <v>73</v>
      </c>
      <c r="C54" s="16">
        <v>1</v>
      </c>
      <c r="D54" s="21">
        <v>5.66</v>
      </c>
    </row>
    <row r="55" spans="2:4" x14ac:dyDescent="0.25">
      <c r="B55" s="2" t="s">
        <v>74</v>
      </c>
      <c r="C55" s="16">
        <v>2</v>
      </c>
      <c r="D55" s="21">
        <v>4.78</v>
      </c>
    </row>
    <row r="56" spans="2:4" x14ac:dyDescent="0.25">
      <c r="B56" s="2" t="s">
        <v>39</v>
      </c>
      <c r="C56" s="16">
        <v>1</v>
      </c>
      <c r="D56" s="21">
        <v>6.94</v>
      </c>
    </row>
    <row r="57" spans="2:4" x14ac:dyDescent="0.25">
      <c r="B57" s="2" t="s">
        <v>9</v>
      </c>
      <c r="C57" s="16">
        <v>1</v>
      </c>
      <c r="D57" s="21">
        <v>11.97</v>
      </c>
    </row>
    <row r="58" spans="2:4" x14ac:dyDescent="0.25">
      <c r="B58" s="17" t="s">
        <v>146</v>
      </c>
      <c r="C58" s="16">
        <v>0.05</v>
      </c>
      <c r="D58" s="21">
        <v>1.98</v>
      </c>
    </row>
    <row r="59" spans="2:4" x14ac:dyDescent="0.25">
      <c r="B59" s="17" t="s">
        <v>60</v>
      </c>
      <c r="C59" s="16">
        <v>0.1</v>
      </c>
      <c r="D59" s="21">
        <v>0.78</v>
      </c>
    </row>
    <row r="60" spans="2:4" x14ac:dyDescent="0.25">
      <c r="B60" s="17" t="s">
        <v>120</v>
      </c>
      <c r="C60" s="16">
        <v>8.3333333333333329E-2</v>
      </c>
      <c r="D60" s="21">
        <v>0.92</v>
      </c>
    </row>
    <row r="61" spans="2:4" x14ac:dyDescent="0.25">
      <c r="B61" s="2" t="s">
        <v>81</v>
      </c>
      <c r="C61" s="16">
        <v>1</v>
      </c>
      <c r="D61" s="21">
        <f>11.73/9</f>
        <v>1.3033333333333335</v>
      </c>
    </row>
    <row r="62" spans="2:4" x14ac:dyDescent="0.25">
      <c r="B62" s="17" t="s">
        <v>121</v>
      </c>
      <c r="C62" s="16">
        <v>0.05</v>
      </c>
      <c r="D62" s="21">
        <v>0.92</v>
      </c>
    </row>
    <row r="63" spans="2:4" x14ac:dyDescent="0.25">
      <c r="B63" s="17" t="s">
        <v>82</v>
      </c>
      <c r="C63" s="16">
        <v>0.05</v>
      </c>
      <c r="D63" s="21">
        <v>0.92</v>
      </c>
    </row>
    <row r="64" spans="2:4" x14ac:dyDescent="0.25">
      <c r="B64" s="17" t="s">
        <v>68</v>
      </c>
      <c r="C64" s="16">
        <v>1</v>
      </c>
      <c r="D64" s="21">
        <v>0.98</v>
      </c>
    </row>
    <row r="65" spans="2:4" x14ac:dyDescent="0.25">
      <c r="B65" s="17" t="s">
        <v>55</v>
      </c>
      <c r="C65" s="16">
        <v>0.1</v>
      </c>
      <c r="D65" s="21">
        <v>1.98</v>
      </c>
    </row>
    <row r="66" spans="2:4" x14ac:dyDescent="0.25">
      <c r="B66" s="17" t="s">
        <v>56</v>
      </c>
      <c r="C66" s="16">
        <v>0.05</v>
      </c>
      <c r="D66" s="21">
        <v>1.83</v>
      </c>
    </row>
    <row r="67" spans="2:4" x14ac:dyDescent="0.25">
      <c r="B67" s="17" t="s">
        <v>58</v>
      </c>
      <c r="C67" s="16">
        <v>0.25</v>
      </c>
      <c r="D67" s="21">
        <v>2.13</v>
      </c>
    </row>
    <row r="68" spans="2:4" x14ac:dyDescent="0.25">
      <c r="B68" s="17" t="s">
        <v>59</v>
      </c>
      <c r="C68" s="16">
        <v>0.25</v>
      </c>
      <c r="D68" s="21">
        <v>3.58</v>
      </c>
    </row>
    <row r="69" spans="2:4" x14ac:dyDescent="0.25">
      <c r="B69" s="17" t="s">
        <v>61</v>
      </c>
      <c r="C69" s="16">
        <v>0.25</v>
      </c>
      <c r="D69" s="21">
        <v>1.6</v>
      </c>
    </row>
    <row r="70" spans="2:4" x14ac:dyDescent="0.25">
      <c r="B70" s="2" t="s">
        <v>122</v>
      </c>
      <c r="C70" s="16">
        <v>0.5</v>
      </c>
      <c r="D70" s="21">
        <v>1.98</v>
      </c>
    </row>
    <row r="71" spans="2:4" x14ac:dyDescent="0.25">
      <c r="B71" s="2" t="s">
        <v>123</v>
      </c>
      <c r="C71" s="16">
        <v>0.33</v>
      </c>
      <c r="D71" s="21">
        <v>1.22</v>
      </c>
    </row>
    <row r="72" spans="2:4" x14ac:dyDescent="0.25">
      <c r="B72" s="2" t="s">
        <v>12</v>
      </c>
      <c r="C72" s="16">
        <v>0.8</v>
      </c>
      <c r="D72" s="21">
        <v>2.96</v>
      </c>
    </row>
    <row r="73" spans="2:4" x14ac:dyDescent="0.25">
      <c r="B73" s="2" t="s">
        <v>62</v>
      </c>
      <c r="C73" s="16">
        <v>0.35</v>
      </c>
      <c r="D73" s="21">
        <v>1.98</v>
      </c>
    </row>
    <row r="74" spans="2:4" x14ac:dyDescent="0.25">
      <c r="B74" s="2" t="s">
        <v>63</v>
      </c>
      <c r="C74" s="16">
        <v>0.5</v>
      </c>
      <c r="D74" s="21">
        <v>1.94</v>
      </c>
    </row>
    <row r="75" spans="2:4" x14ac:dyDescent="0.25">
      <c r="B75" s="2" t="s">
        <v>69</v>
      </c>
      <c r="C75" s="16">
        <v>0.3</v>
      </c>
      <c r="D75" s="21">
        <v>1.18</v>
      </c>
    </row>
    <row r="76" spans="2:4" x14ac:dyDescent="0.25">
      <c r="B76" s="2" t="s">
        <v>145</v>
      </c>
      <c r="C76" s="16">
        <v>0.5</v>
      </c>
      <c r="D76" s="21">
        <v>0.7</v>
      </c>
    </row>
    <row r="77" spans="2:4" x14ac:dyDescent="0.25">
      <c r="B77" s="2" t="s">
        <v>67</v>
      </c>
      <c r="C77" s="16">
        <v>0.1</v>
      </c>
      <c r="D77" s="21">
        <v>4.82</v>
      </c>
    </row>
    <row r="78" spans="2:4" x14ac:dyDescent="0.25">
      <c r="B78" s="2" t="s">
        <v>70</v>
      </c>
      <c r="C78" s="16">
        <v>0.1</v>
      </c>
      <c r="D78" s="21">
        <v>2.97</v>
      </c>
    </row>
    <row r="79" spans="2:4" x14ac:dyDescent="0.25">
      <c r="B79" s="2" t="s">
        <v>124</v>
      </c>
      <c r="C79" s="16">
        <v>8.3333333333333329E-2</v>
      </c>
      <c r="D79" s="21">
        <v>2.97</v>
      </c>
    </row>
    <row r="80" spans="2:4" x14ac:dyDescent="0.25">
      <c r="B80" s="2" t="s">
        <v>71</v>
      </c>
      <c r="C80" s="16">
        <v>8.3333333333333329E-2</v>
      </c>
      <c r="D80" s="21">
        <v>3.97</v>
      </c>
    </row>
    <row r="81" spans="2:4" x14ac:dyDescent="0.25">
      <c r="B81" s="2" t="s">
        <v>75</v>
      </c>
      <c r="C81" s="2">
        <f>1/16</f>
        <v>6.25E-2</v>
      </c>
      <c r="D81" s="21">
        <v>3.97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88</vt:i4>
      </vt:variant>
    </vt:vector>
  </HeadingPairs>
  <TitlesOfParts>
    <vt:vector size="96" baseType="lpstr">
      <vt:lpstr>GetStarted</vt:lpstr>
      <vt:lpstr>Meal_Planner</vt:lpstr>
      <vt:lpstr>ShoppingList</vt:lpstr>
      <vt:lpstr>Meal_Counter</vt:lpstr>
      <vt:lpstr>MealPlannerPrice</vt:lpstr>
      <vt:lpstr>GroceryListCalculator</vt:lpstr>
      <vt:lpstr>PivotTable</vt:lpstr>
      <vt:lpstr>PriceSheet</vt:lpstr>
      <vt:lpstr>Apples</vt:lpstr>
      <vt:lpstr>Aspargus</vt:lpstr>
      <vt:lpstr>Bacon</vt:lpstr>
      <vt:lpstr>BakedPOtCost</vt:lpstr>
      <vt:lpstr>Banana</vt:lpstr>
      <vt:lpstr>BeefTaco</vt:lpstr>
      <vt:lpstr>BeefTacoCost</vt:lpstr>
      <vt:lpstr>Biscuit</vt:lpstr>
      <vt:lpstr>BoxMac</vt:lpstr>
      <vt:lpstr>BoxMacCost</vt:lpstr>
      <vt:lpstr>Bread</vt:lpstr>
      <vt:lpstr>Breakfast</vt:lpstr>
      <vt:lpstr>Broccolli</vt:lpstr>
      <vt:lpstr>Burger</vt:lpstr>
      <vt:lpstr>BurgerCost</vt:lpstr>
      <vt:lpstr>Carrots</vt:lpstr>
      <vt:lpstr>Cereal</vt:lpstr>
      <vt:lpstr>CerealBar</vt:lpstr>
      <vt:lpstr>Chicken</vt:lpstr>
      <vt:lpstr>ChicTaco</vt:lpstr>
      <vt:lpstr>ChicTacoCost</vt:lpstr>
      <vt:lpstr>ChicWings</vt:lpstr>
      <vt:lpstr>Chips</vt:lpstr>
      <vt:lpstr>Cod</vt:lpstr>
      <vt:lpstr>Coffee</vt:lpstr>
      <vt:lpstr>Cookie</vt:lpstr>
      <vt:lpstr>Corn</vt:lpstr>
      <vt:lpstr>CupCake</vt:lpstr>
      <vt:lpstr>DailyBudget</vt:lpstr>
      <vt:lpstr>DailyBudget1</vt:lpstr>
      <vt:lpstr>Desserts</vt:lpstr>
      <vt:lpstr>Egg</vt:lpstr>
      <vt:lpstr>FetAlfredo</vt:lpstr>
      <vt:lpstr>FettAlfCost</vt:lpstr>
      <vt:lpstr>FrenchFries</vt:lpstr>
      <vt:lpstr>FruitSnack</vt:lpstr>
      <vt:lpstr>Graham</vt:lpstr>
      <vt:lpstr>Granola</vt:lpstr>
      <vt:lpstr>gravy</vt:lpstr>
      <vt:lpstr>GrillCheese</vt:lpstr>
      <vt:lpstr>GrilledCheeseCost</vt:lpstr>
      <vt:lpstr>GroceryList</vt:lpstr>
      <vt:lpstr>GroundBeef</vt:lpstr>
      <vt:lpstr>HomeMac</vt:lpstr>
      <vt:lpstr>HomeMacCost</vt:lpstr>
      <vt:lpstr>HotDog</vt:lpstr>
      <vt:lpstr>HotDogsCost</vt:lpstr>
      <vt:lpstr>HouseSalad</vt:lpstr>
      <vt:lpstr>IceCream</vt:lpstr>
      <vt:lpstr>LoadedPot</vt:lpstr>
      <vt:lpstr>Lunch</vt:lpstr>
      <vt:lpstr>Main</vt:lpstr>
      <vt:lpstr>MealPlan</vt:lpstr>
      <vt:lpstr>MealPlannerPrice</vt:lpstr>
      <vt:lpstr>Meats</vt:lpstr>
      <vt:lpstr>NumberOfPeople</vt:lpstr>
      <vt:lpstr>NutriBars</vt:lpstr>
      <vt:lpstr>NYStrip</vt:lpstr>
      <vt:lpstr>Oranges</vt:lpstr>
      <vt:lpstr>Pancake</vt:lpstr>
      <vt:lpstr>PBandJ</vt:lpstr>
      <vt:lpstr>PBandJCost</vt:lpstr>
      <vt:lpstr>PestoTort</vt:lpstr>
      <vt:lpstr>PestoTortCost</vt:lpstr>
      <vt:lpstr>Pizza</vt:lpstr>
      <vt:lpstr>popsicle</vt:lpstr>
      <vt:lpstr>PopTart</vt:lpstr>
      <vt:lpstr>PorkChop</vt:lpstr>
      <vt:lpstr>PortionSize</vt:lpstr>
      <vt:lpstr>PotWedge</vt:lpstr>
      <vt:lpstr>Ribeye</vt:lpstr>
      <vt:lpstr>Rice</vt:lpstr>
      <vt:lpstr>SaladCost</vt:lpstr>
      <vt:lpstr>Salmon</vt:lpstr>
      <vt:lpstr>Shrimp</vt:lpstr>
      <vt:lpstr>Sides</vt:lpstr>
      <vt:lpstr>Snacks</vt:lpstr>
      <vt:lpstr>Soup</vt:lpstr>
      <vt:lpstr>SoupCost</vt:lpstr>
      <vt:lpstr>SpagandMeatSauce</vt:lpstr>
      <vt:lpstr>SpaghettiCost</vt:lpstr>
      <vt:lpstr>SweetPot</vt:lpstr>
      <vt:lpstr>Toast</vt:lpstr>
      <vt:lpstr>TurkeySand</vt:lpstr>
      <vt:lpstr>TurkeySandwichCost</vt:lpstr>
      <vt:lpstr>Waffle</vt:lpstr>
      <vt:lpstr>WingsCost</vt:lpstr>
      <vt:lpstr>Yogurt</vt:lpstr>
    </vt:vector>
  </TitlesOfParts>
  <Company>U.S. Air Force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JONES, JESSE L GS-04 USAF AFMC 420 SCMS/GUNB</dc:creator>
  <cp:lastModifiedBy>jones</cp:lastModifiedBy>
  <cp:lastPrinted>2021-04-06T20:31:28Z</cp:lastPrinted>
  <dcterms:created xsi:type="dcterms:W3CDTF">2021-03-17T18:28:47Z</dcterms:created>
  <dcterms:modified xsi:type="dcterms:W3CDTF">2021-04-15T16:11:55Z</dcterms:modified>
</cp:coreProperties>
</file>